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ContentType="application/vnd.openxmlformats-officedocument.drawingml.chart+xml" PartName="/xl/charts/chart1.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ntervention Tracker" r:id="rId1" sheetId="1"/>
    <sheet name="Summary" r:id="rId2" sheetId="2"/>
  </sheets>
  <extLst/>
</workbook>
</file>

<file path=xl/sharedStrings.xml><?xml version="1.0" encoding="utf-8"?>
<sst xmlns="http://schemas.openxmlformats.org/spreadsheetml/2006/main" count="172" uniqueCount="172">
  <si>
    <t>Company Name</t>
  </si>
  <si>
    <t>HyperLaunch Private Limited</t>
  </si>
  <si>
    <t>Program Name</t>
  </si>
  <si>
    <t>Data Analytics and Visualization</t>
  </si>
  <si>
    <t>Last Updated Date</t>
  </si>
  <si>
    <t>Intervention</t>
  </si>
  <si>
    <t>1=2.5 hours Intervention</t>
  </si>
  <si>
    <t>Week - 1</t>
  </si>
  <si>
    <t>Week - 2</t>
  </si>
  <si>
    <t>Week - 3</t>
  </si>
  <si>
    <t>Week - 4</t>
  </si>
  <si>
    <t>Week - 5</t>
  </si>
  <si>
    <t>Week - 6</t>
  </si>
  <si>
    <t>Week - 7</t>
  </si>
  <si>
    <t>Week - 8</t>
  </si>
  <si>
    <t>Week - 9</t>
  </si>
  <si>
    <t>Completion Status - In hours</t>
  </si>
  <si>
    <t>Completion Status - Interventions</t>
  </si>
  <si>
    <t>Sl. No</t>
  </si>
  <si>
    <t>University Code</t>
  </si>
  <si>
    <t>College Name</t>
  </si>
  <si>
    <t>Start Date</t>
  </si>
  <si>
    <t>End Date</t>
  </si>
  <si>
    <t>Timing</t>
  </si>
  <si>
    <t>Batch Size</t>
  </si>
  <si>
    <t>Students Count</t>
  </si>
  <si>
    <t>Trainer name</t>
  </si>
  <si>
    <t>Monday</t>
  </si>
  <si>
    <t>Tuesday</t>
  </si>
  <si>
    <t>Wednesday</t>
  </si>
  <si>
    <t>Thursday</t>
  </si>
  <si>
    <t>Friday</t>
  </si>
  <si>
    <t>Saturday</t>
  </si>
  <si>
    <t>Total Program Hours Per Batch</t>
  </si>
  <si>
    <t>Batch Wise Weekly hours Completed</t>
  </si>
  <si>
    <t xml:space="preserve">Overall Completed  Hours </t>
  </si>
  <si>
    <t>Pending Hours Per Batch</t>
  </si>
  <si>
    <t xml:space="preserve">Total Hours </t>
  </si>
  <si>
    <t>Intervention Completed</t>
  </si>
  <si>
    <t xml:space="preserve">Pending Intervention </t>
  </si>
  <si>
    <t>Completeion Percentage</t>
  </si>
  <si>
    <t>unm1473</t>
  </si>
  <si>
    <t>ST. THOMAS COLLEGE OF ARTSand SCIENCE, KOYAMBEDU</t>
  </si>
  <si>
    <t>8.40 AM - 11.10AM</t>
  </si>
  <si>
    <t>Kiruthiga</t>
  </si>
  <si>
    <t>Bhavani</t>
  </si>
  <si>
    <t>Madhan</t>
  </si>
  <si>
    <t>Pugazh</t>
  </si>
  <si>
    <t>Nikileshwari</t>
  </si>
  <si>
    <t>1:30–4:00</t>
  </si>
  <si>
    <t>Angel</t>
  </si>
  <si>
    <t>Subhash</t>
  </si>
  <si>
    <t>unm1741</t>
  </si>
  <si>
    <t>ARULMIGU KAPALEESWARAR ARTS AND SCIENCE COLLEGE, KOLATHUR</t>
  </si>
  <si>
    <t>9-11.30am</t>
  </si>
  <si>
    <t>11.30 -2pm</t>
  </si>
  <si>
    <t>unm1363</t>
  </si>
  <si>
    <t>VALLIAMMAL COLLEGE FOR WOMEN, ANNA NAGAR EAST</t>
  </si>
  <si>
    <t>8.30 - 11am</t>
  </si>
  <si>
    <t>Priyadharshini</t>
  </si>
  <si>
    <t>12:00 pm  to 2:30 pm</t>
  </si>
  <si>
    <t>Harini</t>
  </si>
  <si>
    <t>Hema</t>
  </si>
  <si>
    <t>unm1351</t>
  </si>
  <si>
    <t>CHEVALIER T. THOMAS ELIZABETH COLLEGE FOR (W), SEMBIUM</t>
  </si>
  <si>
    <t>9:30 AM – 12:00 PM</t>
  </si>
  <si>
    <t>Atchaya</t>
  </si>
  <si>
    <t>12:30 PM – 3:00 PM</t>
  </si>
  <si>
    <t>unm203</t>
  </si>
  <si>
    <t>K.C.S. KASI NADAR COLLEGE OF ARTS AND SCIENCE</t>
  </si>
  <si>
    <t>9 am to 11:30 am</t>
  </si>
  <si>
    <t>Nagadinesh</t>
  </si>
  <si>
    <t>12 pm to 2 pm</t>
  </si>
  <si>
    <t>unm1483</t>
  </si>
  <si>
    <t>ANNAI VEILANKANNI'S COLLEGE FOR WOMEN</t>
  </si>
  <si>
    <t>8.45 to 11.15</t>
  </si>
  <si>
    <t>11.45 to 2.15</t>
  </si>
  <si>
    <t>unm195</t>
  </si>
  <si>
    <t>Annai Violet Arts and Science College</t>
  </si>
  <si>
    <t>9:00–11:30 AM</t>
  </si>
  <si>
    <t>11:40 AM–2:00 PM</t>
  </si>
  <si>
    <t>unm1681</t>
  </si>
  <si>
    <t>St.Annes Arts and Science</t>
  </si>
  <si>
    <t>9:00 AM – 11:30 AM</t>
  </si>
  <si>
    <t>Uday</t>
  </si>
  <si>
    <t>unm1353</t>
  </si>
  <si>
    <t>Anna Adarsh College</t>
  </si>
  <si>
    <t>10:00 AM – 12:30 PM</t>
  </si>
  <si>
    <t>Janani</t>
  </si>
  <si>
    <t>2:00 PM – 4:30 PM</t>
  </si>
  <si>
    <t>unm1435</t>
  </si>
  <si>
    <t>Thiruthangal Nadar College</t>
  </si>
  <si>
    <t>8.30 - 11 am</t>
  </si>
  <si>
    <t>Peter</t>
  </si>
  <si>
    <t>11-1.30 pm</t>
  </si>
  <si>
    <t>unm1485</t>
  </si>
  <si>
    <t>Soka Ikeda College of Arts and Science for Women</t>
  </si>
  <si>
    <t>9 am to 12:30 pm</t>
  </si>
  <si>
    <t>unm1739</t>
  </si>
  <si>
    <t>VALLAL P.T. LEE CHENGALVARAYA NAICKER ARTS AND SCIENCE COLLEGE (CO-EDN)</t>
  </si>
  <si>
    <t>12:30 pm to 2:30 pm</t>
  </si>
  <si>
    <t>unm1487</t>
  </si>
  <si>
    <t>Jaya Govind</t>
  </si>
  <si>
    <t>unm1621</t>
  </si>
  <si>
    <t>Shri Shankarlal Sundarbai Shasun Jain College for Women</t>
  </si>
  <si>
    <t>9:00 AM – 11:00 AM</t>
  </si>
  <si>
    <t>Balaji</t>
  </si>
  <si>
    <t>10:30 AM – 12:40 PM</t>
  </si>
  <si>
    <t>3.30 pm to 5.50 pm</t>
  </si>
  <si>
    <t>unm1423</t>
  </si>
  <si>
    <t>Dr. MGR Janaki College of Arts &amp; Science for Women.</t>
  </si>
  <si>
    <t>10:30 AM – 1:00 PM</t>
  </si>
  <si>
    <t>Gayathri</t>
  </si>
  <si>
    <t>2:30 PM – 5:00 PM</t>
  </si>
  <si>
    <t>unm1611</t>
  </si>
  <si>
    <t>Patrician College</t>
  </si>
  <si>
    <t>8:00–10:30 AM
10:30 AM–1:00 PM</t>
  </si>
  <si>
    <t>Vishnu</t>
  </si>
  <si>
    <t>Divya</t>
  </si>
  <si>
    <t>unm133</t>
  </si>
  <si>
    <t>Asan Memorial</t>
  </si>
  <si>
    <t>11 am to 1:15 pm</t>
  </si>
  <si>
    <t>2 pm to 4:30 pm</t>
  </si>
  <si>
    <t>unm1401</t>
  </si>
  <si>
    <t>Bhaktavatsalam Memorial College for Women</t>
  </si>
  <si>
    <t>unm1699</t>
  </si>
  <si>
    <t>Avichi</t>
  </si>
  <si>
    <t>11:30 AM – 1:30 PM</t>
  </si>
  <si>
    <t>unm1727</t>
  </si>
  <si>
    <t>St george</t>
  </si>
  <si>
    <t>9.00 am to 11.30 am</t>
  </si>
  <si>
    <t>unm1687</t>
  </si>
  <si>
    <t>DON BOSCO COLLEGE OF ARTS AND SCIENCE, KILPAUK, CHENNAI - 600 010</t>
  </si>
  <si>
    <t>8:30 AM to 11:00 AM</t>
  </si>
  <si>
    <t>unm1437</t>
  </si>
  <si>
    <t>MAR GREGORIOS COLLEGE</t>
  </si>
  <si>
    <t>8:30 am to 11 am</t>
  </si>
  <si>
    <t>Udaya</t>
  </si>
  <si>
    <t>12:30 pm to 2.00 pm</t>
  </si>
  <si>
    <t>unm1659</t>
  </si>
  <si>
    <t>SHRI KRISHNASWAMY COLLEGE FOR WOMEN, ANNA NAGAR, CHENNAI - 600 040.</t>
  </si>
  <si>
    <t>11.30 AM to 2 pm</t>
  </si>
  <si>
    <t>unm1369</t>
  </si>
  <si>
    <t>GURU SHREE SHANTIVIJAI JAIN COLLEGE FOR WOMEN, VEPERY, CHENNAI-600 007.</t>
  </si>
  <si>
    <t>1:30 to 3 pm</t>
  </si>
  <si>
    <t>UNM1441</t>
  </si>
  <si>
    <t>SREE MUTHUKUMARASWAMY COLLEGE</t>
  </si>
  <si>
    <t>12.30 pm to 3 pm</t>
  </si>
  <si>
    <t>unm1475</t>
  </si>
  <si>
    <t>SRI KANYAKA PARAMESWARI ARTS and SCIENCE COLLEGE FOR WOMEN, CHENNAI-1</t>
  </si>
  <si>
    <t>9 am to 12 pm</t>
  </si>
  <si>
    <t>Gokulakrishnan</t>
  </si>
  <si>
    <t>12:30 to 3 pm</t>
  </si>
  <si>
    <t>unm1330</t>
  </si>
  <si>
    <t>CHELLAMMAL WOMEN'S COLLEGE, GUINDY, CHENNAI</t>
  </si>
  <si>
    <t>2pm  to 4:30 pm</t>
  </si>
  <si>
    <t>unm1425</t>
  </si>
  <si>
    <t>KUMARARANI MEENA MUTHIAH COLLEGE OF ARTS and SCIENCE Co-Ed CHENNAI 20</t>
  </si>
  <si>
    <t>unm1429</t>
  </si>
  <si>
    <t>Alpha Arts and Science College</t>
  </si>
  <si>
    <t>9 to 11.30</t>
  </si>
  <si>
    <t>Gokul</t>
  </si>
  <si>
    <t>10.30 to 1</t>
  </si>
  <si>
    <t>peter</t>
  </si>
  <si>
    <t>2 to 4.30</t>
  </si>
  <si>
    <t>madhan</t>
  </si>
  <si>
    <t>Category</t>
  </si>
  <si>
    <t>Enrolled Count</t>
  </si>
  <si>
    <t>Completed Count</t>
  </si>
  <si>
    <t>In Progress</t>
  </si>
  <si>
    <t>Not Started</t>
  </si>
  <si>
    <t>Total Count</t>
  </si>
</sst>
</file>

<file path=xl/styles.xml><?xml version="1.0" encoding="utf-8"?>
<styleSheet xmlns="http://schemas.openxmlformats.org/spreadsheetml/2006/main">
  <numFmts count="6">
    <numFmt formatCode="dd-mm-yyyy" numFmtId="164"/>
    <numFmt formatCode="d/m/yyyy" numFmtId="165"/>
    <numFmt formatCode="#0%" numFmtId="166"/>
    <numFmt formatCode="d-mm-yyyy" numFmtId="167"/>
    <numFmt formatCode="dd/m/yyyy" numFmtId="168"/>
    <numFmt formatCode="dd/mm/yyyy" numFmtId="169"/>
  </numFmts>
  <fonts count="15">
    <font>
      <sz val="10"/>
      <color rgb="FF000000"/>
      <name val="Roboto"/>
    </font>
    <font>
      <sz val="10"/>
      <name val="Roboto"/>
    </font>
    <font>
      <sz val="12"/>
      <name val="Roboto"/>
    </font>
    <font>
      <b/>
      <sz val="12"/>
      <name val="Roboto"/>
    </font>
    <font>
      <b/>
      <sz val="10"/>
      <name val="Roboto"/>
    </font>
    <font>
      <sz val="11"/>
      <name val="Calibri"/>
    </font>
    <font>
      <sz val="12"/>
      <name val="Roboto"/>
    </font>
    <font>
      <sz val="12"/>
      <name val="Calibri"/>
    </font>
    <font>
      <sz val="12"/>
      <name val="Roboto"/>
    </font>
    <font>
      <sz val="10"/>
      <name val="Roboto"/>
    </font>
    <font>
      <sz val="10"/>
      <name val="Roboto"/>
    </font>
    <font>
      <sz val="11"/>
      <name val="Roboto"/>
    </font>
    <font>
      <sz val="11"/>
      <name val="Calibri"/>
    </font>
    <font>
      <sz val="10"/>
      <name val="Roboto"/>
    </font>
    <font>
      <sz val="11.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5F5E3"/>
        <bgColor rgb="FFD5F5E3"/>
      </patternFill>
    </fill>
    <fill>
      <patternFill patternType="solid">
        <fgColor rgb="FFD7BDE2"/>
        <bgColor rgb="FFD7BDE2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30">
    <xf borderId="0" fillId="0" fontId="0" numFmtId="0" xfId="0">
      <alignment vertical="top"/>
    </xf>
    <xf borderId="0" fillId="0" fontId="1" numFmtId="0" xfId="0">
      <alignment vertical="center"/>
    </xf>
    <xf borderId="0" fillId="0" fontId="2" numFmtId="0" xfId="0">
      <alignment horizontal="center" vertical="center"/>
    </xf>
    <xf borderId="1" fillId="2" fontId="3" numFmtId="0" xfId="0">
      <alignment horizontal="center" vertical="center"/>
    </xf>
    <xf borderId="2" fillId="2" fontId="3" numFmtId="0" xfId="0">
      <alignment horizontal="left" vertical="center"/>
    </xf>
    <xf borderId="2" fillId="2" fontId="3" numFmtId="164" xfId="0">
      <alignment horizontal="center" vertical="center"/>
    </xf>
    <xf borderId="0" fillId="0" fontId="3" numFmtId="0" xfId="0">
      <alignment horizontal="center" vertical="center"/>
    </xf>
    <xf borderId="0" fillId="0" fontId="1" numFmtId="0" xfId="0">
      <alignment vertical="top"/>
    </xf>
    <xf borderId="3" fillId="2" fontId="1" numFmtId="0" xfId="0">
      <alignment vertical="top"/>
    </xf>
    <xf borderId="4" fillId="2" fontId="1" numFmtId="0" xfId="0">
      <alignment vertical="top"/>
    </xf>
    <xf borderId="2" fillId="2" fontId="3" numFmtId="0" xfId="0">
      <alignment horizontal="center" vertical="center"/>
    </xf>
    <xf borderId="2" fillId="0" fontId="3" numFmtId="0" xfId="0">
      <alignment horizontal="center" vertical="center"/>
    </xf>
    <xf borderId="2" fillId="0" fontId="1" numFmtId="0" xfId="0">
      <alignment vertical="top"/>
    </xf>
    <xf borderId="5" fillId="0" fontId="3" numFmtId="0" xfId="0">
      <alignment horizontal="center" vertical="center"/>
    </xf>
    <xf borderId="5" fillId="0" fontId="1" numFmtId="0" xfId="0">
      <alignment vertical="top"/>
    </xf>
    <xf borderId="6" fillId="0" fontId="1" numFmtId="0" xfId="0">
      <alignment vertical="top"/>
    </xf>
    <xf borderId="7" fillId="0" fontId="3" numFmtId="0" xfId="0">
      <alignment horizontal="center" vertical="center"/>
    </xf>
    <xf borderId="8" fillId="0" fontId="4" numFmtId="0" xfId="0">
      <alignment horizontal="center" vertical="top"/>
    </xf>
    <xf borderId="9" fillId="0" fontId="4" numFmtId="0" xfId="0">
      <alignment vertical="top"/>
    </xf>
    <xf borderId="10" fillId="0" fontId="4" numFmtId="0" xfId="0">
      <alignment vertical="top"/>
    </xf>
    <xf borderId="4" fillId="3" fontId="3" numFmtId="0" xfId="0">
      <alignment horizontal="center" vertical="center"/>
    </xf>
    <xf borderId="3" fillId="3" fontId="3" numFmtId="0" xfId="0">
      <alignment horizontal="center" vertical="center"/>
    </xf>
    <xf borderId="2" fillId="3" fontId="3" numFmtId="0" xfId="0">
      <alignment horizontal="center" vertical="center"/>
    </xf>
    <xf borderId="1" fillId="3" fontId="3" numFmtId="0" xfId="0">
      <alignment horizontal="center" vertical="center"/>
    </xf>
    <xf borderId="6" fillId="3" fontId="3" numFmtId="0" xfId="0">
      <alignment horizontal="center" vertical="center"/>
    </xf>
    <xf borderId="7" fillId="3" fontId="3" numFmtId="0" xfId="0">
      <alignment horizontal="center" vertical="center"/>
    </xf>
    <xf borderId="4" fillId="3" fontId="4" numFmtId="0" xfId="0">
      <alignment horizontal="center" vertical="center"/>
    </xf>
    <xf borderId="11" fillId="3" fontId="4" numFmtId="0" xfId="0">
      <alignment horizontal="center" vertical="center"/>
    </xf>
    <xf borderId="3" fillId="3" fontId="4" numFmtId="0" xfId="0">
      <alignment horizontal="center" vertical="center"/>
    </xf>
    <xf borderId="12" fillId="3" fontId="4" numFmtId="0" xfId="0">
      <alignment horizontal="center" vertical="center"/>
    </xf>
    <xf borderId="12" fillId="0" fontId="2" numFmtId="0" xfId="0">
      <alignment horizontal="center" vertical="center"/>
    </xf>
    <xf borderId="2" fillId="0" fontId="5" numFmtId="0" xfId="0">
      <alignment horizontal="center" vertical="center"/>
    </xf>
    <xf borderId="13" fillId="0" fontId="2" numFmtId="0" xfId="0">
      <alignment horizontal="center" vertical="center"/>
    </xf>
    <xf borderId="12" fillId="4" fontId="6" numFmtId="165" xfId="0">
      <alignment horizontal="center" vertical="center"/>
    </xf>
    <xf borderId="1" fillId="0" fontId="1" numFmtId="165" xfId="0">
      <alignment horizontal="center" vertical="center"/>
    </xf>
    <xf borderId="10" fillId="0" fontId="1" numFmtId="0" xfId="0">
      <alignment horizontal="center" vertical="center"/>
    </xf>
    <xf borderId="3" fillId="0" fontId="1" numFmtId="0" xfId="0">
      <alignment horizontal="center" vertical="center"/>
    </xf>
    <xf borderId="11" fillId="0" fontId="2" numFmtId="0" xfId="0">
      <alignment horizontal="center" vertical="center"/>
    </xf>
    <xf borderId="2" fillId="0" fontId="1" numFmtId="0" xfId="0">
      <alignment horizontal="center" vertical="center"/>
    </xf>
    <xf borderId="8" fillId="0" fontId="1" numFmtId="0" xfId="0">
      <alignment horizontal="center" vertical="center"/>
    </xf>
    <xf borderId="9" fillId="0" fontId="1" numFmtId="0" xfId="0">
      <alignment horizontal="center" vertical="center"/>
    </xf>
    <xf borderId="11" fillId="0" fontId="1" numFmtId="0" xfId="0">
      <alignment horizontal="center" vertical="center"/>
    </xf>
    <xf borderId="2" fillId="0" fontId="1" numFmtId="166" xfId="0">
      <alignment horizontal="center" vertical="center"/>
    </xf>
    <xf borderId="2" fillId="0" fontId="1" numFmtId="0" xfId="0">
      <alignment vertical="center"/>
    </xf>
    <xf borderId="12" fillId="0" fontId="2" numFmtId="0" xfId="0">
      <alignment vertical="top"/>
    </xf>
    <xf borderId="3" fillId="0" fontId="1" numFmtId="0" xfId="0">
      <alignment vertical="top"/>
    </xf>
    <xf borderId="8" fillId="0" fontId="2" numFmtId="0" xfId="0">
      <alignment horizontal="center" vertical="center"/>
    </xf>
    <xf borderId="8" fillId="0" fontId="1" numFmtId="0" xfId="0">
      <alignment vertical="top"/>
    </xf>
    <xf borderId="1" fillId="0" fontId="1" numFmtId="0" xfId="0">
      <alignment horizontal="center" vertical="center"/>
    </xf>
    <xf borderId="7" fillId="0" fontId="1" numFmtId="0" xfId="0">
      <alignment horizontal="center" vertical="center"/>
    </xf>
    <xf borderId="7" fillId="0" fontId="1" numFmtId="0" xfId="0">
      <alignment vertical="top"/>
    </xf>
    <xf borderId="6" fillId="0" fontId="1" numFmtId="0" xfId="0">
      <alignment horizontal="center" vertical="center"/>
    </xf>
    <xf borderId="2" fillId="0" fontId="2" numFmtId="0" xfId="0">
      <alignment horizontal="center" vertical="center"/>
    </xf>
    <xf borderId="12" fillId="0" fontId="1" numFmtId="0" xfId="0">
      <alignment horizontal="center" vertical="center"/>
    </xf>
    <xf borderId="14" fillId="0" fontId="1" numFmtId="0" xfId="0">
      <alignment horizontal="center" vertical="center"/>
    </xf>
    <xf borderId="4" fillId="0" fontId="1" numFmtId="0" xfId="0">
      <alignment horizontal="center" vertical="center"/>
    </xf>
    <xf borderId="4" fillId="0" fontId="1" numFmtId="0" xfId="0">
      <alignment vertical="top"/>
    </xf>
    <xf borderId="14" fillId="0" fontId="1" numFmtId="0" xfId="0">
      <alignment vertical="top"/>
    </xf>
    <xf borderId="7" fillId="0" fontId="2" numFmtId="0" xfId="0">
      <alignment horizontal="center" vertical="center"/>
    </xf>
    <xf borderId="11" fillId="0" fontId="1" numFmtId="0" xfId="0">
      <alignment horizontal="center" vertical="top"/>
    </xf>
    <xf borderId="2" fillId="0" fontId="1" numFmtId="0" xfId="0">
      <alignment horizontal="center" vertical="top"/>
    </xf>
    <xf borderId="6" fillId="0" fontId="2" numFmtId="0" xfId="0">
      <alignment horizontal="center" vertical="center"/>
    </xf>
    <xf borderId="7" fillId="4" fontId="6" numFmtId="165" xfId="0">
      <alignment horizontal="center" vertical="center"/>
    </xf>
    <xf borderId="3" fillId="0" fontId="1" numFmtId="165" xfId="0">
      <alignment horizontal="center" vertical="center"/>
    </xf>
    <xf borderId="2" fillId="0" fontId="7" numFmtId="0" xfId="0">
      <alignment horizontal="center" vertical="center"/>
    </xf>
    <xf borderId="14" fillId="0" fontId="2" numFmtId="0" xfId="0">
      <alignment horizontal="center" vertical="center"/>
    </xf>
    <xf borderId="11" fillId="4" fontId="2" numFmtId="0" xfId="0">
      <alignment horizontal="center" vertical="center"/>
    </xf>
    <xf borderId="11" fillId="0" fontId="1" numFmtId="0" xfId="0">
      <alignment vertical="top"/>
    </xf>
    <xf borderId="7" fillId="4" fontId="8" numFmtId="164" xfId="0">
      <alignment horizontal="center" vertical="center"/>
    </xf>
    <xf borderId="2" fillId="4" fontId="9" numFmtId="167" xfId="0">
      <alignment horizontal="center" vertical="center"/>
    </xf>
    <xf borderId="1" fillId="4" fontId="9" numFmtId="167" xfId="0">
      <alignment horizontal="center" vertical="center"/>
    </xf>
    <xf borderId="12" fillId="0" fontId="1" numFmtId="0" xfId="0">
      <alignment vertical="top"/>
    </xf>
    <xf borderId="11" fillId="0" fontId="2" numFmtId="0" xfId="0">
      <alignment vertical="top"/>
    </xf>
    <xf borderId="4" fillId="0" fontId="10" numFmtId="0" xfId="0">
      <alignment vertical="top"/>
    </xf>
    <xf borderId="7" fillId="0" fontId="2" numFmtId="168" xfId="0">
      <alignment horizontal="center" vertical="center"/>
    </xf>
    <xf borderId="2" fillId="0" fontId="5" numFmtId="0" xfId="0">
      <alignment horizontal="center" vertical="top"/>
    </xf>
    <xf borderId="10" fillId="0" fontId="7" numFmtId="0" xfId="0">
      <alignment horizontal="center" vertical="center"/>
    </xf>
    <xf borderId="7" fillId="0" fontId="2" numFmtId="169" xfId="0">
      <alignment horizontal="center" vertical="center"/>
    </xf>
    <xf borderId="1" fillId="0" fontId="7" numFmtId="0" xfId="0">
      <alignment horizontal="center" vertical="center"/>
    </xf>
    <xf borderId="2" fillId="0" fontId="11" numFmtId="0" xfId="0">
      <alignment horizontal="center" vertical="center"/>
    </xf>
    <xf borderId="10" fillId="0" fontId="2" numFmtId="0" xfId="0">
      <alignment horizontal="center" vertical="center"/>
    </xf>
    <xf borderId="2" fillId="0" fontId="1" numFmtId="165" xfId="0">
      <alignment horizontal="center" vertical="center"/>
    </xf>
    <xf borderId="1" fillId="0" fontId="2" numFmtId="0" xfId="0">
      <alignment horizontal="center" vertical="center"/>
    </xf>
    <xf borderId="6" fillId="0" fontId="6" numFmtId="0" xfId="0">
      <alignment horizontal="center" vertical="center"/>
    </xf>
    <xf borderId="5" fillId="0" fontId="2" numFmtId="169" xfId="0">
      <alignment horizontal="center" vertical="center"/>
    </xf>
    <xf borderId="1" fillId="0" fontId="12" numFmtId="0" xfId="0">
      <alignment horizontal="center" vertical="center"/>
    </xf>
    <xf borderId="4" fillId="0" fontId="10" numFmtId="0" xfId="0">
      <alignment vertical="center"/>
    </xf>
    <xf borderId="5" fillId="0" fontId="2" numFmtId="0" xfId="0">
      <alignment horizontal="center" vertical="center"/>
    </xf>
    <xf borderId="15" fillId="0" fontId="2" numFmtId="0" xfId="0">
      <alignment horizontal="center" vertical="center"/>
    </xf>
    <xf borderId="4" fillId="0" fontId="1" numFmtId="0" xfId="0">
      <alignment horizontal="center" vertical="top"/>
    </xf>
    <xf borderId="7" fillId="0" fontId="6" numFmtId="165" xfId="0">
      <alignment horizontal="center" vertical="center"/>
    </xf>
    <xf borderId="3" fillId="0" fontId="2" numFmtId="0" xfId="0">
      <alignment vertical="top"/>
    </xf>
    <xf borderId="7" fillId="0" fontId="2" numFmtId="165" xfId="0">
      <alignment horizontal="center" vertical="center"/>
    </xf>
    <xf borderId="13" fillId="0" fontId="1" numFmtId="0" xfId="0">
      <alignment vertical="top"/>
    </xf>
    <xf borderId="13" fillId="0" fontId="1" numFmtId="0" xfId="0">
      <alignment horizontal="center" vertical="center"/>
    </xf>
    <xf borderId="1" fillId="0" fontId="5" numFmtId="0" xfId="0">
      <alignment horizontal="center" vertical="center" wrapText="1"/>
    </xf>
    <xf borderId="3" fillId="0" fontId="1" numFmtId="0" xfId="0">
      <alignment vertical="center"/>
    </xf>
    <xf borderId="3" fillId="0" fontId="1" numFmtId="0" xfId="0">
      <alignment horizontal="center" vertical="top"/>
    </xf>
    <xf borderId="4" fillId="0" fontId="1" numFmtId="0" xfId="0">
      <alignment vertical="center"/>
    </xf>
    <xf borderId="2" fillId="0" fontId="5" numFmtId="0" xfId="0">
      <alignment horizontal="center" vertical="center" wrapText="1"/>
    </xf>
    <xf borderId="10" fillId="0" fontId="6" numFmtId="0" xfId="0">
      <alignment horizontal="center" vertical="center"/>
    </xf>
    <xf borderId="0" fillId="4" fontId="13" numFmtId="0" xfId="0">
      <alignment horizontal="center" vertical="center"/>
    </xf>
    <xf borderId="9" fillId="4" fontId="1" numFmtId="0" xfId="0">
      <alignment horizontal="center" vertical="center" wrapText="1"/>
    </xf>
    <xf borderId="1" fillId="0" fontId="14" numFmtId="0" xfId="0">
      <alignment horizontal="center" vertical="center"/>
    </xf>
    <xf borderId="2" fillId="0" fontId="14" numFmtId="0" xfId="0">
      <alignment horizontal="center" vertical="top"/>
    </xf>
    <xf borderId="5" fillId="4" fontId="1" numFmtId="0" xfId="0">
      <alignment horizontal="center" vertical="center" wrapText="1"/>
    </xf>
    <xf borderId="15" fillId="4" fontId="1" numFmtId="0" xfId="0">
      <alignment horizontal="center" vertical="center"/>
    </xf>
    <xf borderId="4" fillId="0" fontId="10" numFmtId="0" xfId="0">
      <alignment horizontal="center" vertical="center"/>
    </xf>
    <xf borderId="8" fillId="0" fontId="10" numFmtId="0" xfId="0">
      <alignment horizontal="center" vertical="top"/>
    </xf>
    <xf borderId="11" fillId="0" fontId="1" numFmtId="0" xfId="0">
      <alignment vertical="center"/>
    </xf>
    <xf borderId="2" fillId="4" fontId="1" numFmtId="0" xfId="0">
      <alignment horizontal="center" vertical="center" wrapText="1"/>
    </xf>
    <xf borderId="1" fillId="0" fontId="10" numFmtId="0" xfId="0">
      <alignment horizontal="center" vertical="center"/>
    </xf>
    <xf borderId="1" fillId="0" fontId="5" numFmtId="0" xfId="0">
      <alignment horizontal="center" vertical="center"/>
    </xf>
    <xf borderId="12" fillId="0" fontId="1" numFmtId="0" xfId="0">
      <alignment vertical="center"/>
    </xf>
    <xf borderId="3" fillId="0" fontId="10" numFmtId="0" xfId="0">
      <alignment vertical="top"/>
    </xf>
    <xf borderId="7" fillId="0" fontId="1" numFmtId="165" xfId="0">
      <alignment horizontal="center" vertical="center"/>
    </xf>
    <xf borderId="2" fillId="0" fontId="10" numFmtId="0" xfId="0">
      <alignment horizontal="center" vertical="center"/>
    </xf>
    <xf borderId="0" fillId="4" fontId="1" numFmtId="0" xfId="0">
      <alignment horizontal="center" vertical="center" wrapText="1"/>
    </xf>
    <xf borderId="15" fillId="4" fontId="1" numFmtId="0" xfId="0">
      <alignment horizontal="center" vertical="center" wrapText="1"/>
    </xf>
    <xf borderId="11" fillId="2" fontId="1" numFmtId="0" xfId="0">
      <alignment vertical="top"/>
    </xf>
    <xf borderId="15" fillId="2" fontId="1" numFmtId="0" xfId="0">
      <alignment vertical="center"/>
    </xf>
    <xf borderId="15" fillId="2" fontId="1" numFmtId="0" xfId="0">
      <alignment vertical="top"/>
    </xf>
    <xf borderId="15" fillId="2" fontId="2" numFmtId="0" xfId="0">
      <alignment horizontal="center" vertical="center"/>
    </xf>
    <xf borderId="14" fillId="2" fontId="1" numFmtId="0" xfId="0">
      <alignment vertical="top"/>
    </xf>
    <xf borderId="10" fillId="2" fontId="4" numFmtId="0" xfId="0">
      <alignment horizontal="center" vertical="center"/>
    </xf>
    <xf borderId="0" fillId="2" fontId="1" numFmtId="0" xfId="0">
      <alignment vertical="top"/>
    </xf>
    <xf borderId="8" fillId="2" fontId="4" numFmtId="0" xfId="0">
      <alignment horizontal="center" vertical="center"/>
    </xf>
    <xf borderId="2" fillId="2" fontId="4" numFmtId="0" xfId="0">
      <alignment horizontal="center" vertical="top"/>
    </xf>
    <xf borderId="2" fillId="3" fontId="4" numFmtId="0" xfId="0">
      <alignment horizontal="center" vertical="center"/>
    </xf>
    <xf borderId="2" fillId="0" fontId="4" numFmtId="0" xfId="0">
      <alignment horizontal="center" vertical="center"/>
    </xf>
  </cellXfs>
  <cellStyles count="1">
    <cellStyle name="Normal" xfId="0" builtinId="0" customBuiltin="1"/>
  </cellStyles>
  <dxfs count="3">
    <dxf>
      <fill>
        <patternFill patternType="solid">
          <fgColor rgb="FFF4F6F6"/>
          <bgColor rgb="FFF4F6F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BDEB4"/>
          <bgColor rgb="FF9BDEB4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t>Progress Status</a:t>
            </a:r>
          </a:p>
        </c:rich>
      </c:tx>
    </c:title>
    <c:plotArea>
      <c:lineChart>
        <c:varyColors val="0"/>
        <c:ser>
          <c:idx val="0"/>
          <c:order val="0"/>
          <c:tx>
            <c:strRef>
              <c:f>Summary!$A$2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marker>
            <c:symbol val="none"/>
          </c:marker>
          <c:cat>
            <c:strRef>
              <c:f>Summary!$B$1:$E$1</c:f>
            </c:strRef>
          </c:cat>
          <c:val>
            <c:numRef>
              <c:f>Summary!$B$2:$E$2</c:f>
              <c:numCache/>
            </c:numRef>
          </c:val>
          <c:smooth val="0"/>
        </c:ser>
        <c:axId val="877806208"/>
        <c:axId val="526632448"/>
      </c:lineChart>
      <c:catAx>
        <c:axId val="877806208"/>
        <c:scaling>
          <c:orientation val="minMax"/>
        </c:scaling>
        <c:delete val="0"/>
        <c:axPos val="b"/>
        <c:majorTickMark val="none"/>
        <c:minorTickMark val="none"/>
        <c:spPr/>
        <c:crossAx val="526632448"/>
      </c:catAx>
      <c:valAx>
        <c:axId val="526632448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majorTickMark val="none"/>
        <c:minorTickMark val="none"/>
        <c:tickLblPos val="nextTo"/>
        <c:spPr>
          <a:ln/>
        </c:spPr>
        <c:crossAx val="877806208"/>
      </c:valAx>
    </c:plotArea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Target="../charts/chart1.xml" Id="rId1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5</xdr:col>
      <xdr:colOff>457952</xdr:colOff>
      <xdr:row>0</xdr:row>
      <xdr:rowOff>0</xdr:rowOff>
    </xdr:from>
    <xdr:ext cx="6242755" cy="4289777"/>
    <xdr:graphicFrame>
      <xdr:nvGraphicFramePr>
        <xdr:cNvPr id="0" name="imag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worksheets/_rels/sheet2.xml.rels><?xml version="1.0" encoding="UTF-8" standalone="yes"?><Relationships xmlns="http://schemas.openxmlformats.org/package/2006/relationships"><Relationship Target="../drawings/drawing1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S105"/>
  <sheetViews>
    <sheetView workbookViewId="0">
      <pane xSplit="3" ySplit="5" topLeftCell="D6" state="frozen"/>
    </sheetView>
  </sheetViews>
  <sheetFormatPr defaultRowHeight="14.0" customHeight="1"/>
  <cols>
    <col min="1" max="1" width="6.88"/>
    <col min="2" max="2" style="1" width="19.87"/>
    <col min="3" max="3" width="85.45"/>
    <col min="4" max="4" style="2" width="12.58"/>
    <col min="5" max="5" width="10.33"/>
    <col min="6" max="6" width="20.8"/>
    <col min="7" max="7" width="13.24"/>
    <col min="8" max="9" width="22.39"/>
    <col min="10" max="63" width="13.24"/>
    <col min="64" max="64" width="25.04"/>
    <col min="65" max="65" width="33.52"/>
    <col min="66" max="66" width="21.46"/>
    <col min="67" max="67" width="23.98"/>
    <col min="68" max="68" width="13.24"/>
    <col min="69" max="69" width="29.14"/>
    <col min="70" max="70" width="35.24"/>
    <col min="71" max="71" width="21.86"/>
    <col min="72" max="2048" width="13.24"/>
  </cols>
  <sheetData>
    <row r="1" ht="18.0">
      <c r="A1" s="3"/>
      <c r="B1" s="4" t="s">
        <v>0</v>
      </c>
      <c r="C1" s="5" t="s">
        <v>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</row>
    <row r="2" ht="18.0">
      <c r="A2" s="8"/>
      <c r="B2" s="4" t="s">
        <v>2</v>
      </c>
      <c r="C2" s="5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ht="18.0">
      <c r="A3" s="8"/>
      <c r="B3" s="4" t="s">
        <v>4</v>
      </c>
      <c r="C3" s="5">
        <v>46055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  <c r="BL3" s="7"/>
      <c r="BM3" s="7"/>
      <c r="BN3" s="7"/>
      <c r="BO3" s="7"/>
      <c r="BP3" s="7"/>
      <c r="BQ3" s="7"/>
      <c r="BR3" s="7"/>
      <c r="BS3" s="7"/>
    </row>
    <row r="4" ht="18.0">
      <c r="A4" s="9"/>
      <c r="B4" s="4" t="s">
        <v>5</v>
      </c>
      <c r="C4" s="10" t="s">
        <v>6</v>
      </c>
      <c r="D4" s="6"/>
      <c r="E4" s="6"/>
      <c r="F4" s="6"/>
      <c r="G4" s="6"/>
      <c r="H4" s="6"/>
      <c r="I4" s="6"/>
      <c r="J4" s="11" t="s">
        <v>7</v>
      </c>
      <c r="K4" s="12"/>
      <c r="L4" s="12"/>
      <c r="M4" s="12"/>
      <c r="N4" s="12"/>
      <c r="O4" s="12"/>
      <c r="P4" s="13" t="s">
        <v>8</v>
      </c>
      <c r="Q4" s="14"/>
      <c r="R4" s="14"/>
      <c r="S4" s="14"/>
      <c r="T4" s="14"/>
      <c r="U4" s="15"/>
      <c r="V4" s="16" t="s">
        <v>9</v>
      </c>
      <c r="W4" s="14"/>
      <c r="X4" s="14"/>
      <c r="Y4" s="14"/>
      <c r="Z4" s="14"/>
      <c r="AA4" s="15"/>
      <c r="AB4" s="16" t="s">
        <v>10</v>
      </c>
      <c r="AC4" s="14"/>
      <c r="AD4" s="14"/>
      <c r="AE4" s="14"/>
      <c r="AF4" s="14"/>
      <c r="AG4" s="15"/>
      <c r="AH4" s="16" t="s">
        <v>11</v>
      </c>
      <c r="AI4" s="14"/>
      <c r="AJ4" s="14"/>
      <c r="AK4" s="14"/>
      <c r="AL4" s="14"/>
      <c r="AM4" s="15"/>
      <c r="AN4" s="16" t="s">
        <v>12</v>
      </c>
      <c r="AO4" s="14"/>
      <c r="AP4" s="14"/>
      <c r="AQ4" s="14"/>
      <c r="AR4" s="14"/>
      <c r="AS4" s="15"/>
      <c r="AT4" s="16" t="s">
        <v>13</v>
      </c>
      <c r="AU4" s="14"/>
      <c r="AV4" s="14"/>
      <c r="AW4" s="14"/>
      <c r="AX4" s="14"/>
      <c r="AY4" s="15"/>
      <c r="AZ4" s="16" t="s">
        <v>14</v>
      </c>
      <c r="BA4" s="14"/>
      <c r="BB4" s="14"/>
      <c r="BC4" s="14"/>
      <c r="BD4" s="14"/>
      <c r="BE4" s="15"/>
      <c r="BF4" s="16" t="s">
        <v>15</v>
      </c>
      <c r="BG4" s="14"/>
      <c r="BH4" s="14"/>
      <c r="BI4" s="14"/>
      <c r="BJ4" s="14"/>
      <c r="BK4" s="14"/>
      <c r="BL4" s="17" t="s">
        <v>16</v>
      </c>
      <c r="BM4" s="18"/>
      <c r="BN4" s="18"/>
      <c r="BO4" s="18"/>
      <c r="BP4" s="18"/>
      <c r="BQ4" s="17" t="s">
        <v>17</v>
      </c>
      <c r="BR4" s="18"/>
      <c r="BS4" s="19"/>
      <c r="BT4" s="7"/>
    </row>
    <row r="5" ht="18.0">
      <c r="A5" s="20" t="s">
        <v>18</v>
      </c>
      <c r="B5" s="21" t="s">
        <v>19</v>
      </c>
      <c r="C5" s="20" t="s">
        <v>20</v>
      </c>
      <c r="D5" s="22" t="s">
        <v>21</v>
      </c>
      <c r="E5" s="23" t="s">
        <v>22</v>
      </c>
      <c r="F5" s="22" t="s">
        <v>23</v>
      </c>
      <c r="G5" s="22" t="s">
        <v>24</v>
      </c>
      <c r="H5" s="22" t="s">
        <v>25</v>
      </c>
      <c r="I5" s="24" t="s">
        <v>26</v>
      </c>
      <c r="J5" s="24" t="s">
        <v>27</v>
      </c>
      <c r="K5" s="23" t="s">
        <v>28</v>
      </c>
      <c r="L5" s="23" t="s">
        <v>29</v>
      </c>
      <c r="M5" s="23" t="s">
        <v>30</v>
      </c>
      <c r="N5" s="23" t="s">
        <v>31</v>
      </c>
      <c r="O5" s="22" t="s">
        <v>32</v>
      </c>
      <c r="P5" s="23" t="s">
        <v>27</v>
      </c>
      <c r="Q5" s="23" t="s">
        <v>28</v>
      </c>
      <c r="R5" s="23" t="s">
        <v>29</v>
      </c>
      <c r="S5" s="23" t="s">
        <v>30</v>
      </c>
      <c r="T5" s="23" t="s">
        <v>31</v>
      </c>
      <c r="U5" s="23" t="s">
        <v>32</v>
      </c>
      <c r="V5" s="23" t="s">
        <v>27</v>
      </c>
      <c r="W5" s="23" t="s">
        <v>28</v>
      </c>
      <c r="X5" s="23" t="s">
        <v>29</v>
      </c>
      <c r="Y5" s="23" t="s">
        <v>30</v>
      </c>
      <c r="Z5" s="23" t="s">
        <v>31</v>
      </c>
      <c r="AA5" s="23" t="s">
        <v>32</v>
      </c>
      <c r="AB5" s="23" t="s">
        <v>27</v>
      </c>
      <c r="AC5" s="23" t="s">
        <v>28</v>
      </c>
      <c r="AD5" s="23" t="s">
        <v>29</v>
      </c>
      <c r="AE5" s="23" t="s">
        <v>30</v>
      </c>
      <c r="AF5" s="23" t="s">
        <v>31</v>
      </c>
      <c r="AG5" s="23" t="s">
        <v>32</v>
      </c>
      <c r="AH5" s="23" t="s">
        <v>27</v>
      </c>
      <c r="AI5" s="23" t="s">
        <v>28</v>
      </c>
      <c r="AJ5" s="23" t="s">
        <v>29</v>
      </c>
      <c r="AK5" s="23" t="s">
        <v>30</v>
      </c>
      <c r="AL5" s="23" t="s">
        <v>31</v>
      </c>
      <c r="AM5" s="23" t="s">
        <v>32</v>
      </c>
      <c r="AN5" s="23" t="s">
        <v>27</v>
      </c>
      <c r="AO5" s="23" t="s">
        <v>28</v>
      </c>
      <c r="AP5" s="23" t="s">
        <v>29</v>
      </c>
      <c r="AQ5" s="23" t="s">
        <v>30</v>
      </c>
      <c r="AR5" s="23" t="s">
        <v>31</v>
      </c>
      <c r="AS5" s="23" t="s">
        <v>32</v>
      </c>
      <c r="AT5" s="23" t="s">
        <v>27</v>
      </c>
      <c r="AU5" s="23" t="s">
        <v>28</v>
      </c>
      <c r="AV5" s="23" t="s">
        <v>29</v>
      </c>
      <c r="AW5" s="23" t="s">
        <v>30</v>
      </c>
      <c r="AX5" s="23" t="s">
        <v>31</v>
      </c>
      <c r="AY5" s="23" t="s">
        <v>32</v>
      </c>
      <c r="AZ5" s="23" t="s">
        <v>27</v>
      </c>
      <c r="BA5" s="23" t="s">
        <v>28</v>
      </c>
      <c r="BB5" s="23" t="s">
        <v>29</v>
      </c>
      <c r="BC5" s="23" t="s">
        <v>30</v>
      </c>
      <c r="BD5" s="23" t="s">
        <v>31</v>
      </c>
      <c r="BE5" s="23" t="s">
        <v>32</v>
      </c>
      <c r="BF5" s="23" t="s">
        <v>27</v>
      </c>
      <c r="BG5" s="23" t="s">
        <v>28</v>
      </c>
      <c r="BH5" s="23" t="s">
        <v>29</v>
      </c>
      <c r="BI5" s="23" t="s">
        <v>30</v>
      </c>
      <c r="BJ5" s="23" t="s">
        <v>31</v>
      </c>
      <c r="BK5" s="25" t="s">
        <v>32</v>
      </c>
      <c r="BL5" s="26" t="s">
        <v>33</v>
      </c>
      <c r="BM5" s="26" t="s">
        <v>34</v>
      </c>
      <c r="BN5" s="27" t="s">
        <v>35</v>
      </c>
      <c r="BO5" s="28" t="s">
        <v>36</v>
      </c>
      <c r="BP5" s="29" t="s">
        <v>37</v>
      </c>
      <c r="BQ5" s="27" t="s">
        <v>38</v>
      </c>
      <c r="BR5" s="27" t="s">
        <v>39</v>
      </c>
      <c r="BS5" s="26" t="s">
        <v>40</v>
      </c>
      <c r="BT5" s="7"/>
    </row>
    <row r="6" ht="15.0">
      <c r="A6" s="30">
        <v>1.0</v>
      </c>
      <c r="B6" s="31" t="s">
        <v>41</v>
      </c>
      <c r="C6" s="32" t="s">
        <v>42</v>
      </c>
      <c r="D6" s="33">
        <v>46027</v>
      </c>
      <c r="E6" s="34">
        <v>46093</v>
      </c>
      <c r="F6" s="35" t="s">
        <v>43</v>
      </c>
      <c r="G6" s="36">
        <v>5.9</v>
      </c>
      <c r="H6" s="37">
        <v>54.0</v>
      </c>
      <c r="I6" s="38" t="s">
        <v>44</v>
      </c>
      <c r="J6" s="38">
        <v>1.0</v>
      </c>
      <c r="K6" s="39"/>
      <c r="L6" s="39"/>
      <c r="M6" s="39"/>
      <c r="N6" s="38">
        <v>1.0</v>
      </c>
      <c r="O6" s="40"/>
      <c r="P6" s="38">
        <v>1.0</v>
      </c>
      <c r="Q6" s="35"/>
      <c r="R6" s="38"/>
      <c r="S6" s="38"/>
      <c r="T6" s="38">
        <v>1.0</v>
      </c>
      <c r="U6" s="39"/>
      <c r="V6" s="39"/>
      <c r="W6" s="39"/>
      <c r="X6" s="38"/>
      <c r="Y6" s="35"/>
      <c r="Z6" s="38">
        <v>1.0</v>
      </c>
      <c r="AA6" s="38"/>
      <c r="AB6" s="38">
        <v>1.0</v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9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9"/>
      <c r="BJ6" s="38"/>
      <c r="BK6" s="39"/>
      <c r="BL6" s="38">
        <v>45.0</v>
      </c>
      <c r="BM6" s="38">
        <f t="shared" ref="BM6:BM16" si="0">SUM(J6:BK6)*2.5</f>
        <v>15.0</v>
      </c>
      <c r="BN6" s="39">
        <f>SUM(J6:BK12)*2.5</f>
        <v>80.0</v>
      </c>
      <c r="BO6" s="38">
        <f t="shared" ref="BO6:BO16" si="2">BL6-BM6</f>
        <v>30.0</v>
      </c>
      <c r="BP6" s="39">
        <v>315.0</v>
      </c>
      <c r="BQ6" s="41">
        <f t="shared" ref="BQ6:BQ16" si="3">BM6/2.5</f>
        <v>6.0</v>
      </c>
      <c r="BR6" s="39">
        <f t="shared" ref="BR6:BR16" si="4">BO6/2.5</f>
        <v>12.0</v>
      </c>
      <c r="BS6" s="42">
        <f t="shared" ref="BS6:BS16" si="5">BQ6/18</f>
        <v>0.333333333333333</v>
      </c>
      <c r="BT6" s="7"/>
    </row>
    <row r="7" ht="15.0">
      <c r="A7" s="30"/>
      <c r="B7" s="43"/>
      <c r="C7" s="32"/>
      <c r="D7" s="44"/>
      <c r="E7" s="45"/>
      <c r="F7" s="35" t="s">
        <v>43</v>
      </c>
      <c r="G7" s="36"/>
      <c r="H7" s="46">
        <v>53.0</v>
      </c>
      <c r="I7" s="38" t="s">
        <v>45</v>
      </c>
      <c r="J7" s="38">
        <v>1.0</v>
      </c>
      <c r="K7" s="39">
        <v>1.0</v>
      </c>
      <c r="L7" s="39"/>
      <c r="M7" s="39"/>
      <c r="N7" s="38"/>
      <c r="O7" s="40"/>
      <c r="P7" s="38">
        <v>1.0</v>
      </c>
      <c r="Q7" s="35"/>
      <c r="R7" s="38"/>
      <c r="S7" s="38"/>
      <c r="T7" s="38"/>
      <c r="U7" s="39"/>
      <c r="V7" s="47"/>
      <c r="W7" s="39">
        <v>1.0</v>
      </c>
      <c r="X7" s="12"/>
      <c r="Y7" s="35"/>
      <c r="Z7" s="38"/>
      <c r="AA7" s="38"/>
      <c r="AB7" s="38">
        <v>1.0</v>
      </c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9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9"/>
      <c r="BJ7" s="38"/>
      <c r="BK7" s="39"/>
      <c r="BL7" s="38">
        <v>45.0</v>
      </c>
      <c r="BM7" s="38">
        <f t="shared" si="0"/>
        <v>12.5</v>
      </c>
      <c r="BN7" s="39"/>
      <c r="BO7" s="38">
        <f t="shared" si="2"/>
        <v>32.5</v>
      </c>
      <c r="BP7" s="39"/>
      <c r="BQ7" s="41">
        <f t="shared" si="3"/>
        <v>5.0</v>
      </c>
      <c r="BR7" s="39">
        <f t="shared" si="4"/>
        <v>13.0</v>
      </c>
      <c r="BS7" s="42">
        <f t="shared" si="5"/>
        <v>0.277777777777778</v>
      </c>
      <c r="BT7" s="7"/>
    </row>
    <row r="8" ht="15.0">
      <c r="A8" s="30"/>
      <c r="B8" s="43"/>
      <c r="C8" s="32"/>
      <c r="D8" s="44"/>
      <c r="E8" s="45"/>
      <c r="F8" s="35" t="s">
        <v>43</v>
      </c>
      <c r="G8" s="36"/>
      <c r="H8" s="46">
        <v>53.0</v>
      </c>
      <c r="I8" s="38" t="s">
        <v>46</v>
      </c>
      <c r="J8" s="38"/>
      <c r="K8" s="39">
        <v>1.0</v>
      </c>
      <c r="L8" s="39">
        <v>1.0</v>
      </c>
      <c r="M8" s="39"/>
      <c r="N8" s="38"/>
      <c r="O8" s="40"/>
      <c r="P8" s="38"/>
      <c r="Q8" s="35"/>
      <c r="R8" s="38">
        <v>1.0</v>
      </c>
      <c r="S8" s="38"/>
      <c r="T8" s="38"/>
      <c r="U8" s="39"/>
      <c r="V8" s="47"/>
      <c r="W8" s="39">
        <v>1.0</v>
      </c>
      <c r="X8" s="38">
        <v>1.0</v>
      </c>
      <c r="Y8" s="35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9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9"/>
      <c r="BJ8" s="38"/>
      <c r="BK8" s="39"/>
      <c r="BL8" s="38">
        <v>45.0</v>
      </c>
      <c r="BM8" s="38">
        <f t="shared" si="0"/>
        <v>12.5</v>
      </c>
      <c r="BN8" s="39"/>
      <c r="BO8" s="38">
        <f t="shared" si="2"/>
        <v>32.5</v>
      </c>
      <c r="BP8" s="39"/>
      <c r="BQ8" s="41">
        <f t="shared" si="3"/>
        <v>5.0</v>
      </c>
      <c r="BR8" s="39">
        <f t="shared" si="4"/>
        <v>13.0</v>
      </c>
      <c r="BS8" s="42">
        <f t="shared" si="5"/>
        <v>0.277777777777778</v>
      </c>
      <c r="BT8" s="7"/>
    </row>
    <row r="9" ht="15.0">
      <c r="A9" s="30"/>
      <c r="B9" s="43"/>
      <c r="C9" s="32"/>
      <c r="D9" s="44"/>
      <c r="E9" s="45"/>
      <c r="F9" s="35" t="s">
        <v>43</v>
      </c>
      <c r="G9" s="36"/>
      <c r="H9" s="46">
        <v>51.0</v>
      </c>
      <c r="I9" s="38" t="s">
        <v>47</v>
      </c>
      <c r="J9" s="38"/>
      <c r="K9" s="39"/>
      <c r="L9" s="39">
        <v>1.0</v>
      </c>
      <c r="M9" s="39">
        <v>1.0</v>
      </c>
      <c r="N9" s="38"/>
      <c r="O9" s="40"/>
      <c r="P9" s="38"/>
      <c r="Q9" s="35"/>
      <c r="R9" s="38">
        <v>1.0</v>
      </c>
      <c r="S9" s="38"/>
      <c r="T9" s="38"/>
      <c r="U9" s="39"/>
      <c r="V9" s="47"/>
      <c r="W9" s="47"/>
      <c r="X9" s="38">
        <v>1.0</v>
      </c>
      <c r="Y9" s="35">
        <v>1.0</v>
      </c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9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9"/>
      <c r="BJ9" s="38"/>
      <c r="BK9" s="39"/>
      <c r="BL9" s="38">
        <v>45.0</v>
      </c>
      <c r="BM9" s="38">
        <f t="shared" si="0"/>
        <v>12.5</v>
      </c>
      <c r="BN9" s="39"/>
      <c r="BO9" s="38">
        <f t="shared" si="2"/>
        <v>32.5</v>
      </c>
      <c r="BP9" s="39"/>
      <c r="BQ9" s="41">
        <f t="shared" si="3"/>
        <v>5.0</v>
      </c>
      <c r="BR9" s="39">
        <f t="shared" si="4"/>
        <v>13.0</v>
      </c>
      <c r="BS9" s="42">
        <f t="shared" si="5"/>
        <v>0.277777777777778</v>
      </c>
      <c r="BT9" s="7"/>
    </row>
    <row r="10" ht="15.0">
      <c r="A10" s="30"/>
      <c r="B10" s="43"/>
      <c r="C10" s="32"/>
      <c r="D10" s="44"/>
      <c r="E10" s="45"/>
      <c r="F10" s="35" t="s">
        <v>43</v>
      </c>
      <c r="G10" s="36"/>
      <c r="H10" s="46">
        <v>51.0</v>
      </c>
      <c r="I10" s="38" t="s">
        <v>48</v>
      </c>
      <c r="J10" s="48"/>
      <c r="K10" s="49"/>
      <c r="L10" s="39"/>
      <c r="M10" s="39">
        <v>1.0</v>
      </c>
      <c r="N10" s="38">
        <v>1.0</v>
      </c>
      <c r="O10" s="40"/>
      <c r="P10" s="38"/>
      <c r="Q10" s="35"/>
      <c r="R10" s="38"/>
      <c r="S10" s="38"/>
      <c r="T10" s="38">
        <v>1.0</v>
      </c>
      <c r="U10" s="39"/>
      <c r="V10" s="50"/>
      <c r="W10" s="50"/>
      <c r="X10" s="12"/>
      <c r="Y10" s="35">
        <v>1.0</v>
      </c>
      <c r="Z10" s="38">
        <v>1.0</v>
      </c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9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9"/>
      <c r="BJ10" s="38"/>
      <c r="BK10" s="39"/>
      <c r="BL10" s="48">
        <v>45.0</v>
      </c>
      <c r="BM10" s="48">
        <f t="shared" si="0"/>
        <v>12.5</v>
      </c>
      <c r="BN10" s="39"/>
      <c r="BO10" s="38">
        <f t="shared" si="2"/>
        <v>32.5</v>
      </c>
      <c r="BP10" s="39"/>
      <c r="BQ10" s="41">
        <f t="shared" si="3"/>
        <v>5.0</v>
      </c>
      <c r="BR10" s="39">
        <f t="shared" si="4"/>
        <v>13.0</v>
      </c>
      <c r="BS10" s="42">
        <f t="shared" si="5"/>
        <v>0.277777777777778</v>
      </c>
      <c r="BT10" s="7"/>
    </row>
    <row r="11" ht="15.0">
      <c r="A11" s="30"/>
      <c r="B11" s="43"/>
      <c r="C11" s="32"/>
      <c r="D11" s="44"/>
      <c r="E11" s="45"/>
      <c r="F11" s="51" t="s">
        <v>49</v>
      </c>
      <c r="G11" s="36"/>
      <c r="H11" s="52">
        <v>48.0</v>
      </c>
      <c r="I11" s="53" t="s">
        <v>50</v>
      </c>
      <c r="J11" s="39">
        <v>1.0</v>
      </c>
      <c r="K11" s="38">
        <v>1.0</v>
      </c>
      <c r="L11" s="54"/>
      <c r="M11" s="55"/>
      <c r="N11" s="55"/>
      <c r="O11" s="39"/>
      <c r="P11" s="55">
        <v>1.0</v>
      </c>
      <c r="Q11" s="38"/>
      <c r="R11" s="38"/>
      <c r="S11" s="38"/>
      <c r="T11" s="38"/>
      <c r="U11" s="39"/>
      <c r="V11" s="38"/>
      <c r="W11" s="38"/>
      <c r="X11" s="54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9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9"/>
      <c r="BJ11" s="38"/>
      <c r="BK11" s="39"/>
      <c r="BL11" s="38">
        <v>45.0</v>
      </c>
      <c r="BM11" s="35">
        <f t="shared" si="0"/>
        <v>7.5</v>
      </c>
      <c r="BN11" s="40"/>
      <c r="BO11" s="38">
        <f t="shared" si="2"/>
        <v>37.5</v>
      </c>
      <c r="BP11" s="39"/>
      <c r="BQ11" s="41">
        <f t="shared" si="3"/>
        <v>3.0</v>
      </c>
      <c r="BR11" s="39">
        <f t="shared" si="4"/>
        <v>15.0</v>
      </c>
      <c r="BS11" s="42">
        <f t="shared" si="5"/>
        <v>0.166666666666667</v>
      </c>
      <c r="BT11" s="7"/>
    </row>
    <row r="12" ht="15.0">
      <c r="A12" s="30"/>
      <c r="B12" s="43"/>
      <c r="C12" s="32"/>
      <c r="D12" s="44"/>
      <c r="E12" s="56"/>
      <c r="F12" s="57"/>
      <c r="G12" s="55"/>
      <c r="H12" s="58">
        <v>48.0</v>
      </c>
      <c r="I12" s="59" t="s">
        <v>51</v>
      </c>
      <c r="J12" s="41">
        <v>1.0</v>
      </c>
      <c r="K12" s="60">
        <v>1.0</v>
      </c>
      <c r="L12" s="35"/>
      <c r="M12" s="38"/>
      <c r="N12" s="38"/>
      <c r="O12" s="39"/>
      <c r="P12" s="38">
        <v>1.0</v>
      </c>
      <c r="Q12" s="38"/>
      <c r="R12" s="38"/>
      <c r="S12" s="38"/>
      <c r="T12" s="38"/>
      <c r="U12" s="39"/>
      <c r="V12" s="38"/>
      <c r="W12" s="38"/>
      <c r="X12" s="35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9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9"/>
      <c r="BJ12" s="38"/>
      <c r="BK12" s="39"/>
      <c r="BL12" s="38">
        <v>45.0</v>
      </c>
      <c r="BM12" s="35">
        <f t="shared" si="0"/>
        <v>7.5</v>
      </c>
      <c r="BN12" s="40"/>
      <c r="BO12" s="38">
        <f t="shared" si="2"/>
        <v>37.5</v>
      </c>
      <c r="BP12" s="39"/>
      <c r="BQ12" s="41">
        <f t="shared" si="3"/>
        <v>3.0</v>
      </c>
      <c r="BR12" s="39">
        <f t="shared" si="4"/>
        <v>15.0</v>
      </c>
      <c r="BS12" s="42">
        <f t="shared" si="5"/>
        <v>0.166666666666667</v>
      </c>
      <c r="BT12" s="7"/>
    </row>
    <row r="13" ht="18.0">
      <c r="A13" s="58">
        <v>2.0</v>
      </c>
      <c r="B13" s="31" t="s">
        <v>52</v>
      </c>
      <c r="C13" s="61" t="s">
        <v>53</v>
      </c>
      <c r="D13" s="62">
        <v>46027</v>
      </c>
      <c r="E13" s="63">
        <v>46097</v>
      </c>
      <c r="F13" s="64" t="s">
        <v>54</v>
      </c>
      <c r="G13" s="48">
        <v>1.58</v>
      </c>
      <c r="H13" s="64">
        <v>50.0</v>
      </c>
      <c r="I13" s="55" t="s">
        <v>46</v>
      </c>
      <c r="J13" s="55">
        <v>1.0</v>
      </c>
      <c r="K13" s="55"/>
      <c r="L13" s="38"/>
      <c r="M13" s="38"/>
      <c r="N13" s="38">
        <v>1.0</v>
      </c>
      <c r="O13" s="39"/>
      <c r="P13" s="38">
        <v>1.0</v>
      </c>
      <c r="Q13" s="38"/>
      <c r="R13" s="38"/>
      <c r="S13" s="38"/>
      <c r="T13" s="38">
        <v>1.0</v>
      </c>
      <c r="U13" s="38"/>
      <c r="V13" s="55"/>
      <c r="W13" s="55"/>
      <c r="X13" s="38"/>
      <c r="Y13" s="38"/>
      <c r="Z13" s="38">
        <v>1.0</v>
      </c>
      <c r="AA13" s="38"/>
      <c r="AB13" s="38"/>
      <c r="AC13" s="38"/>
      <c r="AD13" s="38"/>
      <c r="AE13" s="38"/>
      <c r="AF13" s="38">
        <v>1.0</v>
      </c>
      <c r="AG13" s="38"/>
      <c r="AH13" s="38">
        <v>1.0</v>
      </c>
      <c r="AI13" s="38"/>
      <c r="AJ13" s="38"/>
      <c r="AK13" s="38"/>
      <c r="AL13" s="38"/>
      <c r="AM13" s="38"/>
      <c r="AN13" s="38"/>
      <c r="AO13" s="38"/>
      <c r="AP13" s="39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9"/>
      <c r="BJ13" s="38"/>
      <c r="BK13" s="39"/>
      <c r="BL13" s="55">
        <v>45.0</v>
      </c>
      <c r="BM13" s="55">
        <f t="shared" si="0"/>
        <v>17.5</v>
      </c>
      <c r="BN13" s="39">
        <f>SUM(J13:BK14)*2.5</f>
        <v>35.0</v>
      </c>
      <c r="BO13" s="38">
        <f t="shared" si="2"/>
        <v>27.5</v>
      </c>
      <c r="BP13" s="49">
        <v>90.0</v>
      </c>
      <c r="BQ13" s="41">
        <f t="shared" si="3"/>
        <v>7.0</v>
      </c>
      <c r="BR13" s="39">
        <f t="shared" si="4"/>
        <v>11.0</v>
      </c>
      <c r="BS13" s="42">
        <f t="shared" si="5"/>
        <v>0.388888888888889</v>
      </c>
      <c r="BT13" s="7"/>
    </row>
    <row r="14" ht="18.0">
      <c r="A14" s="37"/>
      <c r="B14" s="43"/>
      <c r="C14" s="65"/>
      <c r="D14" s="66"/>
      <c r="E14" s="56"/>
      <c r="F14" s="38" t="s">
        <v>55</v>
      </c>
      <c r="G14" s="55"/>
      <c r="H14" s="64">
        <v>45.0</v>
      </c>
      <c r="I14" s="38" t="s">
        <v>47</v>
      </c>
      <c r="J14" s="38">
        <v>1.0</v>
      </c>
      <c r="K14" s="48"/>
      <c r="L14" s="38"/>
      <c r="M14" s="48"/>
      <c r="N14" s="38">
        <v>1.0</v>
      </c>
      <c r="O14" s="39"/>
      <c r="P14" s="38">
        <v>1.0</v>
      </c>
      <c r="Q14" s="38"/>
      <c r="R14" s="38"/>
      <c r="S14" s="38"/>
      <c r="T14" s="38">
        <v>1.0</v>
      </c>
      <c r="U14" s="38"/>
      <c r="V14" s="38"/>
      <c r="W14" s="38"/>
      <c r="X14" s="38"/>
      <c r="Y14" s="38"/>
      <c r="Z14" s="38">
        <v>1.0</v>
      </c>
      <c r="AA14" s="38"/>
      <c r="AB14" s="38"/>
      <c r="AC14" s="38"/>
      <c r="AD14" s="38"/>
      <c r="AE14" s="38"/>
      <c r="AF14" s="38">
        <v>1.0</v>
      </c>
      <c r="AG14" s="38"/>
      <c r="AH14" s="38">
        <v>1.0</v>
      </c>
      <c r="AI14" s="38"/>
      <c r="AJ14" s="38"/>
      <c r="AK14" s="38"/>
      <c r="AL14" s="38"/>
      <c r="AM14" s="38"/>
      <c r="AN14" s="38"/>
      <c r="AO14" s="38"/>
      <c r="AP14" s="39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9"/>
      <c r="BJ14" s="38"/>
      <c r="BK14" s="39"/>
      <c r="BL14" s="38">
        <v>45.0</v>
      </c>
      <c r="BM14" s="38">
        <f t="shared" si="0"/>
        <v>17.5</v>
      </c>
      <c r="BN14" s="39"/>
      <c r="BO14" s="38">
        <f t="shared" si="2"/>
        <v>27.5</v>
      </c>
      <c r="BP14" s="67"/>
      <c r="BQ14" s="41">
        <f t="shared" si="3"/>
        <v>7.0</v>
      </c>
      <c r="BR14" s="39">
        <f t="shared" si="4"/>
        <v>11.0</v>
      </c>
      <c r="BS14" s="42">
        <f t="shared" si="5"/>
        <v>0.388888888888889</v>
      </c>
      <c r="BT14" s="7"/>
    </row>
    <row r="15" ht="18.0">
      <c r="A15" s="58">
        <v>3.0</v>
      </c>
      <c r="B15" s="31" t="s">
        <v>56</v>
      </c>
      <c r="C15" s="61" t="s">
        <v>57</v>
      </c>
      <c r="D15" s="68">
        <v>46028</v>
      </c>
      <c r="E15" s="34">
        <v>46093</v>
      </c>
      <c r="F15" s="69" t="s">
        <v>58</v>
      </c>
      <c r="G15" s="48">
        <v>3.2</v>
      </c>
      <c r="H15" s="64">
        <v>96.0</v>
      </c>
      <c r="I15" s="39" t="s">
        <v>59</v>
      </c>
      <c r="J15" s="39"/>
      <c r="K15" s="38">
        <v>1.0</v>
      </c>
      <c r="L15" s="40"/>
      <c r="M15" s="38">
        <v>1.0</v>
      </c>
      <c r="N15" s="35"/>
      <c r="O15" s="39"/>
      <c r="P15" s="38"/>
      <c r="Q15" s="38">
        <v>1.0</v>
      </c>
      <c r="R15" s="38"/>
      <c r="S15" s="38">
        <v>1.0</v>
      </c>
      <c r="T15" s="38"/>
      <c r="U15" s="38"/>
      <c r="V15" s="38"/>
      <c r="W15" s="38">
        <v>1.0</v>
      </c>
      <c r="X15" s="38"/>
      <c r="Y15" s="38">
        <v>1.0</v>
      </c>
      <c r="Z15" s="38"/>
      <c r="AA15" s="38"/>
      <c r="AB15" s="38">
        <v>1.0</v>
      </c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9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9"/>
      <c r="BJ15" s="38"/>
      <c r="BK15" s="39"/>
      <c r="BL15" s="38">
        <v>45.0</v>
      </c>
      <c r="BM15" s="38">
        <f t="shared" si="0"/>
        <v>17.5</v>
      </c>
      <c r="BN15" s="41">
        <f>SUM(J15:BK17)*2.5</f>
        <v>35.0</v>
      </c>
      <c r="BO15" s="38">
        <f t="shared" si="2"/>
        <v>27.5</v>
      </c>
      <c r="BP15" s="49">
        <v>90.0</v>
      </c>
      <c r="BQ15" s="41">
        <f t="shared" si="3"/>
        <v>7.0</v>
      </c>
      <c r="BR15" s="39">
        <f t="shared" si="4"/>
        <v>11.0</v>
      </c>
      <c r="BS15" s="42">
        <f t="shared" si="5"/>
        <v>0.388888888888889</v>
      </c>
      <c r="BT15" s="7"/>
    </row>
    <row r="16" ht="18.0">
      <c r="A16" s="30"/>
      <c r="B16" s="43"/>
      <c r="C16" s="32"/>
      <c r="D16" s="44"/>
      <c r="E16" s="45"/>
      <c r="F16" s="70" t="s">
        <v>60</v>
      </c>
      <c r="G16" s="36"/>
      <c r="H16" s="64">
        <v>48.0</v>
      </c>
      <c r="I16" s="39" t="s">
        <v>61</v>
      </c>
      <c r="J16" s="39"/>
      <c r="K16" s="48">
        <v>1.0</v>
      </c>
      <c r="L16" s="40"/>
      <c r="M16" s="48">
        <v>1.0</v>
      </c>
      <c r="N16" s="35"/>
      <c r="O16" s="39"/>
      <c r="P16" s="38"/>
      <c r="Q16" s="48">
        <v>1.0</v>
      </c>
      <c r="R16" s="38"/>
      <c r="S16" s="48">
        <v>1.0</v>
      </c>
      <c r="T16" s="38"/>
      <c r="U16" s="38"/>
      <c r="V16" s="38"/>
      <c r="W16" s="48">
        <v>1.0</v>
      </c>
      <c r="X16" s="38"/>
      <c r="Y16" s="48">
        <v>1.0</v>
      </c>
      <c r="Z16" s="38"/>
      <c r="AA16" s="38"/>
      <c r="AB16" s="48">
        <v>1.0</v>
      </c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9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9"/>
      <c r="BJ16" s="38"/>
      <c r="BK16" s="39"/>
      <c r="BL16" s="48">
        <v>45.0</v>
      </c>
      <c r="BM16" s="48">
        <f t="shared" si="0"/>
        <v>17.5</v>
      </c>
      <c r="BN16" s="39"/>
      <c r="BO16" s="48">
        <f t="shared" si="2"/>
        <v>27.5</v>
      </c>
      <c r="BP16" s="71"/>
      <c r="BQ16" s="53">
        <f t="shared" si="3"/>
        <v>7.0</v>
      </c>
      <c r="BR16" s="49">
        <f t="shared" si="4"/>
        <v>11.0</v>
      </c>
      <c r="BS16" s="42">
        <f t="shared" si="5"/>
        <v>0.388888888888889</v>
      </c>
      <c r="BT16" s="7"/>
    </row>
    <row r="17" ht="18.0">
      <c r="A17" s="37"/>
      <c r="B17" s="43"/>
      <c r="C17" s="65"/>
      <c r="D17" s="72"/>
      <c r="E17" s="56"/>
      <c r="F17" s="73"/>
      <c r="G17" s="55"/>
      <c r="H17" s="64">
        <v>49.0</v>
      </c>
      <c r="I17" s="39" t="s">
        <v>62</v>
      </c>
      <c r="J17" s="39"/>
      <c r="K17" s="56"/>
      <c r="L17" s="40"/>
      <c r="M17" s="56"/>
      <c r="N17" s="35"/>
      <c r="O17" s="39"/>
      <c r="P17" s="38"/>
      <c r="Q17" s="56"/>
      <c r="R17" s="38"/>
      <c r="S17" s="56"/>
      <c r="T17" s="38"/>
      <c r="U17" s="38"/>
      <c r="V17" s="38"/>
      <c r="W17" s="56"/>
      <c r="X17" s="38"/>
      <c r="Y17" s="56"/>
      <c r="Z17" s="38"/>
      <c r="AA17" s="38"/>
      <c r="AB17" s="56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9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9"/>
      <c r="BJ17" s="38"/>
      <c r="BK17" s="39"/>
      <c r="BL17" s="56"/>
      <c r="BM17" s="56"/>
      <c r="BN17" s="39"/>
      <c r="BO17" s="56"/>
      <c r="BP17" s="67"/>
      <c r="BQ17" s="41"/>
      <c r="BR17" s="67"/>
      <c r="BS17" s="42"/>
      <c r="BT17" s="7"/>
    </row>
    <row r="18" ht="18.0">
      <c r="A18" s="58">
        <v>4.0</v>
      </c>
      <c r="B18" s="31" t="s">
        <v>63</v>
      </c>
      <c r="C18" s="61" t="s">
        <v>64</v>
      </c>
      <c r="D18" s="74">
        <v>46028</v>
      </c>
      <c r="E18" s="34">
        <v>46093</v>
      </c>
      <c r="F18" s="75" t="s">
        <v>65</v>
      </c>
      <c r="G18" s="48">
        <v>2.3</v>
      </c>
      <c r="H18" s="76">
        <v>47.0</v>
      </c>
      <c r="I18" s="38" t="s">
        <v>66</v>
      </c>
      <c r="J18" s="38"/>
      <c r="K18" s="55"/>
      <c r="L18" s="38">
        <v>1.0</v>
      </c>
      <c r="M18" s="55">
        <v>1.0</v>
      </c>
      <c r="N18" s="38"/>
      <c r="O18" s="39"/>
      <c r="P18" s="38"/>
      <c r="Q18" s="38"/>
      <c r="R18" s="38">
        <v>1.0</v>
      </c>
      <c r="S18" s="38">
        <v>1.0</v>
      </c>
      <c r="T18" s="38"/>
      <c r="U18" s="38"/>
      <c r="V18" s="38"/>
      <c r="W18" s="38"/>
      <c r="X18" s="38">
        <v>1.0</v>
      </c>
      <c r="Y18" s="38">
        <v>1.0</v>
      </c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9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9"/>
      <c r="BJ18" s="38"/>
      <c r="BK18" s="39"/>
      <c r="BL18" s="38">
        <v>45.0</v>
      </c>
      <c r="BM18" s="38">
        <f t="shared" ref="BM18:BM37" si="8">SUM(J18:BK18)*2.5</f>
        <v>15.0</v>
      </c>
      <c r="BN18" s="39">
        <f>SUM(J18:BK20)*2.5</f>
        <v>45.0</v>
      </c>
      <c r="BO18" s="38">
        <f t="shared" ref="BO18:BO37" si="10">BL18-BM18</f>
        <v>30.0</v>
      </c>
      <c r="BP18" s="49">
        <v>135.0</v>
      </c>
      <c r="BQ18" s="41">
        <f t="shared" ref="BQ18:BQ37" si="11">BM18/2.5</f>
        <v>6.0</v>
      </c>
      <c r="BR18" s="39">
        <f t="shared" ref="BR18:BR37" si="12">BO18/2.5</f>
        <v>12.0</v>
      </c>
      <c r="BS18" s="42">
        <f t="shared" ref="BS18:BS37" si="13">BQ18/18</f>
        <v>0.333333333333333</v>
      </c>
      <c r="BT18" s="7"/>
    </row>
    <row r="19" ht="18.0">
      <c r="A19" s="30"/>
      <c r="B19" s="43"/>
      <c r="C19" s="32"/>
      <c r="D19" s="30"/>
      <c r="E19" s="45"/>
      <c r="F19" s="69" t="s">
        <v>67</v>
      </c>
      <c r="G19" s="36"/>
      <c r="H19" s="76">
        <v>46.0</v>
      </c>
      <c r="I19" s="38"/>
      <c r="J19" s="38"/>
      <c r="K19" s="38"/>
      <c r="L19" s="38">
        <v>1.0</v>
      </c>
      <c r="M19" s="38">
        <v>1.0</v>
      </c>
      <c r="N19" s="38"/>
      <c r="O19" s="39"/>
      <c r="P19" s="38"/>
      <c r="Q19" s="38"/>
      <c r="R19" s="38">
        <v>1.0</v>
      </c>
      <c r="S19" s="38">
        <v>1.0</v>
      </c>
      <c r="T19" s="38"/>
      <c r="U19" s="38"/>
      <c r="V19" s="38"/>
      <c r="W19" s="38"/>
      <c r="X19" s="38">
        <v>1.0</v>
      </c>
      <c r="Y19" s="38">
        <v>1.0</v>
      </c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9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9"/>
      <c r="BJ19" s="38"/>
      <c r="BK19" s="39"/>
      <c r="BL19" s="38">
        <v>45.0</v>
      </c>
      <c r="BM19" s="38">
        <f t="shared" si="8"/>
        <v>15.0</v>
      </c>
      <c r="BN19" s="39"/>
      <c r="BO19" s="38">
        <f t="shared" si="10"/>
        <v>30.0</v>
      </c>
      <c r="BP19" s="71"/>
      <c r="BQ19" s="41">
        <f t="shared" si="11"/>
        <v>6.0</v>
      </c>
      <c r="BR19" s="39">
        <f t="shared" si="12"/>
        <v>12.0</v>
      </c>
      <c r="BS19" s="42">
        <f t="shared" si="13"/>
        <v>0.333333333333333</v>
      </c>
      <c r="BT19" s="7"/>
    </row>
    <row r="20" ht="18.0">
      <c r="A20" s="37"/>
      <c r="B20" s="43"/>
      <c r="C20" s="65"/>
      <c r="D20" s="37"/>
      <c r="E20" s="56"/>
      <c r="F20" s="69" t="s">
        <v>67</v>
      </c>
      <c r="G20" s="55"/>
      <c r="H20" s="64">
        <v>49.0</v>
      </c>
      <c r="I20" s="38"/>
      <c r="J20" s="38">
        <v>1.0</v>
      </c>
      <c r="K20" s="38">
        <v>1.0</v>
      </c>
      <c r="L20" s="38"/>
      <c r="M20" s="38"/>
      <c r="N20" s="38"/>
      <c r="O20" s="39"/>
      <c r="P20" s="38">
        <v>1.0</v>
      </c>
      <c r="Q20" s="38">
        <v>1.0</v>
      </c>
      <c r="R20" s="38"/>
      <c r="S20" s="38"/>
      <c r="T20" s="38"/>
      <c r="U20" s="38"/>
      <c r="V20" s="38"/>
      <c r="W20" s="38">
        <v>1.0</v>
      </c>
      <c r="X20" s="38"/>
      <c r="Y20" s="38"/>
      <c r="Z20" s="38"/>
      <c r="AA20" s="38"/>
      <c r="AB20" s="38">
        <v>1.0</v>
      </c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9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9"/>
      <c r="BJ20" s="38"/>
      <c r="BK20" s="39"/>
      <c r="BL20" s="38">
        <v>45.0</v>
      </c>
      <c r="BM20" s="38">
        <f t="shared" si="8"/>
        <v>15.0</v>
      </c>
      <c r="BN20" s="39"/>
      <c r="BO20" s="38">
        <f t="shared" si="10"/>
        <v>30.0</v>
      </c>
      <c r="BP20" s="67"/>
      <c r="BQ20" s="41">
        <f t="shared" si="11"/>
        <v>6.0</v>
      </c>
      <c r="BR20" s="39">
        <f t="shared" si="12"/>
        <v>12.0</v>
      </c>
      <c r="BS20" s="42">
        <f t="shared" si="13"/>
        <v>0.333333333333333</v>
      </c>
      <c r="BT20" s="7"/>
    </row>
    <row r="21" ht="14.0">
      <c r="A21" s="58">
        <v>5.0</v>
      </c>
      <c r="B21" s="52" t="s">
        <v>68</v>
      </c>
      <c r="C21" s="61" t="s">
        <v>69</v>
      </c>
      <c r="D21" s="77">
        <v>46028</v>
      </c>
      <c r="E21" s="34">
        <v>46092</v>
      </c>
      <c r="F21" s="69" t="s">
        <v>70</v>
      </c>
      <c r="G21" s="48">
        <v>2.3</v>
      </c>
      <c r="H21" s="78">
        <v>138.0</v>
      </c>
      <c r="I21" s="38" t="s">
        <v>71</v>
      </c>
      <c r="J21" s="38"/>
      <c r="K21" s="38">
        <v>1.0</v>
      </c>
      <c r="L21" s="38">
        <v>1.0</v>
      </c>
      <c r="M21" s="38"/>
      <c r="N21" s="38"/>
      <c r="O21" s="39"/>
      <c r="P21" s="38"/>
      <c r="Q21" s="38">
        <v>1.0</v>
      </c>
      <c r="R21" s="38">
        <v>1.0</v>
      </c>
      <c r="S21" s="38"/>
      <c r="T21" s="38"/>
      <c r="U21" s="38"/>
      <c r="V21" s="38"/>
      <c r="W21" s="38">
        <v>1.0</v>
      </c>
      <c r="X21" s="38">
        <v>1.0</v>
      </c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9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9"/>
      <c r="BJ21" s="38"/>
      <c r="BK21" s="39"/>
      <c r="BL21" s="38">
        <v>45.0</v>
      </c>
      <c r="BM21" s="38">
        <f t="shared" si="8"/>
        <v>15.0</v>
      </c>
      <c r="BN21" s="49">
        <f>SUM(J21:BK22)*2.5</f>
        <v>30.0</v>
      </c>
      <c r="BO21" s="38">
        <f t="shared" si="10"/>
        <v>30.0</v>
      </c>
      <c r="BP21" s="49">
        <v>90.0</v>
      </c>
      <c r="BQ21" s="41">
        <f t="shared" si="11"/>
        <v>6.0</v>
      </c>
      <c r="BR21" s="39">
        <f t="shared" si="12"/>
        <v>12.0</v>
      </c>
      <c r="BS21" s="42">
        <f t="shared" si="13"/>
        <v>0.333333333333333</v>
      </c>
      <c r="BT21" s="7"/>
    </row>
    <row r="22">
      <c r="A22" s="67"/>
      <c r="B22" s="43"/>
      <c r="C22" s="57"/>
      <c r="D22" s="67"/>
      <c r="E22" s="56"/>
      <c r="F22" s="69" t="s">
        <v>72</v>
      </c>
      <c r="G22" s="56"/>
      <c r="H22" s="56"/>
      <c r="I22" s="38"/>
      <c r="J22" s="38"/>
      <c r="K22" s="38">
        <v>1.0</v>
      </c>
      <c r="L22" s="38">
        <v>1.0</v>
      </c>
      <c r="M22" s="38"/>
      <c r="N22" s="38"/>
      <c r="O22" s="39"/>
      <c r="P22" s="38"/>
      <c r="Q22" s="38">
        <v>1.0</v>
      </c>
      <c r="R22" s="38">
        <v>1.0</v>
      </c>
      <c r="S22" s="38"/>
      <c r="T22" s="38"/>
      <c r="U22" s="38"/>
      <c r="V22" s="38"/>
      <c r="W22" s="38">
        <v>1.0</v>
      </c>
      <c r="X22" s="38">
        <v>1.0</v>
      </c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9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9"/>
      <c r="BJ22" s="38"/>
      <c r="BK22" s="39"/>
      <c r="BL22" s="38">
        <v>45.0</v>
      </c>
      <c r="BM22" s="38">
        <f t="shared" si="8"/>
        <v>15.0</v>
      </c>
      <c r="BN22" s="67"/>
      <c r="BO22" s="38">
        <f t="shared" si="10"/>
        <v>30.0</v>
      </c>
      <c r="BP22" s="67"/>
      <c r="BQ22" s="41">
        <f t="shared" si="11"/>
        <v>6.0</v>
      </c>
      <c r="BR22" s="39">
        <f t="shared" si="12"/>
        <v>12.0</v>
      </c>
      <c r="BS22" s="42">
        <f t="shared" si="13"/>
        <v>0.333333333333333</v>
      </c>
      <c r="BT22" s="7"/>
    </row>
    <row r="23" ht="18.0">
      <c r="A23" s="58">
        <v>6.0</v>
      </c>
      <c r="B23" s="31" t="s">
        <v>73</v>
      </c>
      <c r="C23" s="61" t="s">
        <v>74</v>
      </c>
      <c r="D23" s="77">
        <v>46027</v>
      </c>
      <c r="E23" s="34">
        <v>46097</v>
      </c>
      <c r="F23" s="79" t="s">
        <v>75</v>
      </c>
      <c r="G23" s="48">
        <v>1.3</v>
      </c>
      <c r="H23" s="64">
        <v>40.0</v>
      </c>
      <c r="I23" s="38" t="s">
        <v>50</v>
      </c>
      <c r="J23" s="38"/>
      <c r="K23" s="38">
        <v>1.0</v>
      </c>
      <c r="L23" s="38"/>
      <c r="M23" s="38"/>
      <c r="N23" s="38"/>
      <c r="O23" s="39"/>
      <c r="P23" s="38">
        <v>1.0</v>
      </c>
      <c r="Q23" s="38">
        <v>1.0</v>
      </c>
      <c r="R23" s="38"/>
      <c r="S23" s="38"/>
      <c r="T23" s="38"/>
      <c r="U23" s="38"/>
      <c r="V23" s="38">
        <v>1.0</v>
      </c>
      <c r="W23" s="38">
        <v>1.0</v>
      </c>
      <c r="X23" s="38"/>
      <c r="Y23" s="38"/>
      <c r="Z23" s="38"/>
      <c r="AA23" s="38"/>
      <c r="AB23" s="38">
        <v>1.0</v>
      </c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9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9"/>
      <c r="BJ23" s="38"/>
      <c r="BK23" s="39"/>
      <c r="BL23" s="38">
        <v>45.0</v>
      </c>
      <c r="BM23" s="38">
        <f t="shared" si="8"/>
        <v>15.0</v>
      </c>
      <c r="BN23" s="39">
        <f>SUM(J23:BK24)*2.5</f>
        <v>30.0</v>
      </c>
      <c r="BO23" s="38">
        <f t="shared" si="10"/>
        <v>30.0</v>
      </c>
      <c r="BP23" s="49">
        <v>90.0</v>
      </c>
      <c r="BQ23" s="41">
        <f t="shared" si="11"/>
        <v>6.0</v>
      </c>
      <c r="BR23" s="39">
        <f t="shared" si="12"/>
        <v>12.0</v>
      </c>
      <c r="BS23" s="42">
        <f t="shared" si="13"/>
        <v>0.333333333333333</v>
      </c>
      <c r="BT23" s="7"/>
    </row>
    <row r="24" ht="18.0">
      <c r="A24" s="37"/>
      <c r="B24" s="43"/>
      <c r="C24" s="65"/>
      <c r="D24" s="37"/>
      <c r="E24" s="56"/>
      <c r="F24" s="60" t="s">
        <v>76</v>
      </c>
      <c r="G24" s="55"/>
      <c r="H24" s="64">
        <v>38.0</v>
      </c>
      <c r="I24" s="38"/>
      <c r="J24" s="38"/>
      <c r="K24" s="38">
        <v>1.0</v>
      </c>
      <c r="L24" s="38"/>
      <c r="M24" s="38"/>
      <c r="N24" s="38"/>
      <c r="O24" s="39"/>
      <c r="P24" s="38">
        <v>1.0</v>
      </c>
      <c r="Q24" s="38">
        <v>1.0</v>
      </c>
      <c r="R24" s="38"/>
      <c r="S24" s="38"/>
      <c r="T24" s="38"/>
      <c r="U24" s="38"/>
      <c r="V24" s="38">
        <v>1.0</v>
      </c>
      <c r="W24" s="38">
        <v>1.0</v>
      </c>
      <c r="X24" s="38"/>
      <c r="Y24" s="38"/>
      <c r="Z24" s="38"/>
      <c r="AA24" s="38"/>
      <c r="AB24" s="38">
        <v>1.0</v>
      </c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9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9"/>
      <c r="BJ24" s="38"/>
      <c r="BK24" s="39"/>
      <c r="BL24" s="38">
        <v>45.0</v>
      </c>
      <c r="BM24" s="38">
        <f t="shared" si="8"/>
        <v>15.0</v>
      </c>
      <c r="BN24" s="39"/>
      <c r="BO24" s="38">
        <f t="shared" si="10"/>
        <v>30.0</v>
      </c>
      <c r="BP24" s="67"/>
      <c r="BQ24" s="41">
        <f t="shared" si="11"/>
        <v>6.0</v>
      </c>
      <c r="BR24" s="39">
        <f t="shared" si="12"/>
        <v>12.0</v>
      </c>
      <c r="BS24" s="42">
        <f t="shared" si="13"/>
        <v>0.333333333333333</v>
      </c>
      <c r="BT24" s="7"/>
    </row>
    <row r="25" ht="15.0">
      <c r="A25" s="58">
        <v>7.0</v>
      </c>
      <c r="B25" s="31" t="s">
        <v>77</v>
      </c>
      <c r="C25" s="61" t="s">
        <v>78</v>
      </c>
      <c r="D25" s="77">
        <v>46031</v>
      </c>
      <c r="E25" s="34">
        <v>46095</v>
      </c>
      <c r="F25" s="69" t="s">
        <v>79</v>
      </c>
      <c r="G25" s="48">
        <v>2.1</v>
      </c>
      <c r="H25" s="80">
        <v>61.0</v>
      </c>
      <c r="I25" s="38" t="s">
        <v>59</v>
      </c>
      <c r="J25" s="38"/>
      <c r="K25" s="38"/>
      <c r="L25" s="38"/>
      <c r="M25" s="38"/>
      <c r="N25" s="38">
        <v>1.0</v>
      </c>
      <c r="O25" s="39">
        <v>1.0</v>
      </c>
      <c r="P25" s="38"/>
      <c r="Q25" s="38"/>
      <c r="R25" s="38"/>
      <c r="S25" s="38"/>
      <c r="T25" s="38">
        <v>1.0</v>
      </c>
      <c r="U25" s="38">
        <v>1.0</v>
      </c>
      <c r="V25" s="38"/>
      <c r="W25" s="38"/>
      <c r="X25" s="38"/>
      <c r="Y25" s="38"/>
      <c r="Z25" s="38">
        <v>1.0</v>
      </c>
      <c r="AA25" s="38">
        <v>1.0</v>
      </c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9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9"/>
      <c r="BJ25" s="38"/>
      <c r="BK25" s="39"/>
      <c r="BL25" s="38">
        <v>45.0</v>
      </c>
      <c r="BM25" s="38">
        <f t="shared" si="8"/>
        <v>15.0</v>
      </c>
      <c r="BN25" s="49">
        <f>SUM(J25:BK26)*2.5</f>
        <v>30.0</v>
      </c>
      <c r="BO25" s="38">
        <f t="shared" si="10"/>
        <v>30.0</v>
      </c>
      <c r="BP25" s="49">
        <v>90.0</v>
      </c>
      <c r="BQ25" s="41">
        <f t="shared" si="11"/>
        <v>6.0</v>
      </c>
      <c r="BR25" s="39">
        <f t="shared" si="12"/>
        <v>12.0</v>
      </c>
      <c r="BS25" s="42">
        <f t="shared" si="13"/>
        <v>0.333333333333333</v>
      </c>
      <c r="BT25" s="7"/>
    </row>
    <row r="26" ht="15.0">
      <c r="A26" s="37"/>
      <c r="B26" s="43"/>
      <c r="C26" s="65"/>
      <c r="D26" s="37"/>
      <c r="E26" s="56"/>
      <c r="F26" s="69" t="s">
        <v>80</v>
      </c>
      <c r="G26" s="55"/>
      <c r="H26" s="80">
        <v>65.0</v>
      </c>
      <c r="I26" s="38"/>
      <c r="J26" s="38"/>
      <c r="K26" s="38"/>
      <c r="L26" s="38"/>
      <c r="M26" s="38"/>
      <c r="N26" s="38">
        <v>1.0</v>
      </c>
      <c r="O26" s="39">
        <v>1.0</v>
      </c>
      <c r="P26" s="38"/>
      <c r="Q26" s="38"/>
      <c r="R26" s="38"/>
      <c r="S26" s="38"/>
      <c r="T26" s="38">
        <v>1.0</v>
      </c>
      <c r="U26" s="38">
        <v>1.0</v>
      </c>
      <c r="V26" s="38"/>
      <c r="W26" s="38"/>
      <c r="X26" s="38"/>
      <c r="Y26" s="38"/>
      <c r="Z26" s="38">
        <v>1.0</v>
      </c>
      <c r="AA26" s="38">
        <v>1.0</v>
      </c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9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9"/>
      <c r="BJ26" s="38"/>
      <c r="BK26" s="39"/>
      <c r="BL26" s="38">
        <v>45.0</v>
      </c>
      <c r="BM26" s="38">
        <f t="shared" si="8"/>
        <v>15.0</v>
      </c>
      <c r="BN26" s="67"/>
      <c r="BO26" s="38">
        <f t="shared" si="10"/>
        <v>30.0</v>
      </c>
      <c r="BP26" s="67"/>
      <c r="BQ26" s="41">
        <f t="shared" si="11"/>
        <v>6.0</v>
      </c>
      <c r="BR26" s="39">
        <f t="shared" si="12"/>
        <v>12.0</v>
      </c>
      <c r="BS26" s="42">
        <f t="shared" si="13"/>
        <v>0.333333333333333</v>
      </c>
      <c r="BT26" s="7"/>
    </row>
    <row r="27" ht="18.0">
      <c r="A27" s="46">
        <v>8.0</v>
      </c>
      <c r="B27" s="31" t="s">
        <v>81</v>
      </c>
      <c r="C27" s="61" t="s">
        <v>82</v>
      </c>
      <c r="D27" s="77">
        <v>46029</v>
      </c>
      <c r="E27" s="81">
        <v>46092</v>
      </c>
      <c r="F27" s="69" t="s">
        <v>83</v>
      </c>
      <c r="G27" s="38">
        <v>1.73</v>
      </c>
      <c r="H27" s="82">
        <v>104.0</v>
      </c>
      <c r="I27" s="38" t="s">
        <v>84</v>
      </c>
      <c r="J27" s="38"/>
      <c r="K27" s="38"/>
      <c r="L27" s="38">
        <v>1.0</v>
      </c>
      <c r="M27" s="38">
        <v>1.0</v>
      </c>
      <c r="N27" s="38"/>
      <c r="O27" s="39"/>
      <c r="P27" s="38"/>
      <c r="Q27" s="38"/>
      <c r="R27" s="38">
        <v>1.0</v>
      </c>
      <c r="S27" s="38">
        <v>1.0</v>
      </c>
      <c r="T27" s="38"/>
      <c r="U27" s="38"/>
      <c r="V27" s="48"/>
      <c r="W27" s="48"/>
      <c r="X27" s="48">
        <v>1.0</v>
      </c>
      <c r="Y27" s="38">
        <v>1.0</v>
      </c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9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9"/>
      <c r="BJ27" s="38"/>
      <c r="BK27" s="39"/>
      <c r="BL27" s="38">
        <v>45.0</v>
      </c>
      <c r="BM27" s="38">
        <f t="shared" si="8"/>
        <v>15.0</v>
      </c>
      <c r="BN27" s="39">
        <f>SUM(J27:BK27)*2.5</f>
        <v>15.0</v>
      </c>
      <c r="BO27" s="38">
        <f t="shared" si="10"/>
        <v>30.0</v>
      </c>
      <c r="BP27" s="39">
        <v>45.0</v>
      </c>
      <c r="BQ27" s="41">
        <f t="shared" si="11"/>
        <v>6.0</v>
      </c>
      <c r="BR27" s="39">
        <f t="shared" si="12"/>
        <v>12.0</v>
      </c>
      <c r="BS27" s="42">
        <f t="shared" si="13"/>
        <v>0.333333333333333</v>
      </c>
      <c r="BT27" s="7"/>
    </row>
    <row r="28" ht="18.0">
      <c r="A28" s="58">
        <v>9.0</v>
      </c>
      <c r="B28" s="31" t="s">
        <v>85</v>
      </c>
      <c r="C28" s="61" t="s">
        <v>86</v>
      </c>
      <c r="D28" s="77">
        <v>46041</v>
      </c>
      <c r="E28" s="34">
        <v>46102</v>
      </c>
      <c r="F28" s="38" t="s">
        <v>87</v>
      </c>
      <c r="G28" s="48">
        <v>5.68</v>
      </c>
      <c r="H28" s="52">
        <v>98.0</v>
      </c>
      <c r="I28" s="48" t="s">
        <v>88</v>
      </c>
      <c r="J28" s="38">
        <v>1.0</v>
      </c>
      <c r="K28" s="38">
        <v>1.0</v>
      </c>
      <c r="L28" s="38"/>
      <c r="M28" s="38"/>
      <c r="N28" s="38"/>
      <c r="O28" s="39"/>
      <c r="P28" s="38"/>
      <c r="Q28" s="38">
        <v>1.0</v>
      </c>
      <c r="R28" s="38"/>
      <c r="S28" s="38"/>
      <c r="T28" s="38"/>
      <c r="U28" s="39"/>
      <c r="V28" s="38">
        <v>1.0</v>
      </c>
      <c r="W28" s="38"/>
      <c r="X28" s="38"/>
      <c r="Y28" s="35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9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9"/>
      <c r="BJ28" s="38"/>
      <c r="BK28" s="39"/>
      <c r="BL28" s="38">
        <v>45.0</v>
      </c>
      <c r="BM28" s="38">
        <f t="shared" si="8"/>
        <v>10.0</v>
      </c>
      <c r="BN28" s="39">
        <f>SUM(J28:BK32)*2.5</f>
        <v>47.5</v>
      </c>
      <c r="BO28" s="38">
        <f t="shared" si="10"/>
        <v>35.0</v>
      </c>
      <c r="BP28" s="49">
        <v>225.0</v>
      </c>
      <c r="BQ28" s="41">
        <f t="shared" si="11"/>
        <v>4.0</v>
      </c>
      <c r="BR28" s="39">
        <f t="shared" si="12"/>
        <v>14.0</v>
      </c>
      <c r="BS28" s="42">
        <f t="shared" si="13"/>
        <v>0.222222222222222</v>
      </c>
      <c r="BT28" s="7"/>
    </row>
    <row r="29" ht="18.0">
      <c r="A29" s="30"/>
      <c r="B29" s="43"/>
      <c r="C29" s="32"/>
      <c r="D29" s="44"/>
      <c r="E29" s="45"/>
      <c r="F29" s="38" t="s">
        <v>87</v>
      </c>
      <c r="G29" s="36"/>
      <c r="H29" s="52">
        <v>73.0</v>
      </c>
      <c r="I29" s="45"/>
      <c r="J29" s="38"/>
      <c r="K29" s="38"/>
      <c r="L29" s="38">
        <v>1.0</v>
      </c>
      <c r="M29" s="38">
        <v>1.0</v>
      </c>
      <c r="N29" s="38"/>
      <c r="O29" s="39"/>
      <c r="P29" s="38"/>
      <c r="Q29" s="38"/>
      <c r="R29" s="38">
        <v>1.0</v>
      </c>
      <c r="S29" s="38">
        <v>1.0</v>
      </c>
      <c r="T29" s="38"/>
      <c r="U29" s="39"/>
      <c r="V29" s="12"/>
      <c r="W29" s="12"/>
      <c r="X29" s="12"/>
      <c r="Y29" s="35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9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9"/>
      <c r="BJ29" s="38"/>
      <c r="BK29" s="39"/>
      <c r="BL29" s="38">
        <v>45.0</v>
      </c>
      <c r="BM29" s="38">
        <f t="shared" si="8"/>
        <v>10.0</v>
      </c>
      <c r="BN29" s="39"/>
      <c r="BO29" s="38">
        <f t="shared" si="10"/>
        <v>35.0</v>
      </c>
      <c r="BP29" s="71"/>
      <c r="BQ29" s="41">
        <f t="shared" si="11"/>
        <v>4.0</v>
      </c>
      <c r="BR29" s="39">
        <f t="shared" si="12"/>
        <v>14.0</v>
      </c>
      <c r="BS29" s="42">
        <f t="shared" si="13"/>
        <v>0.222222222222222</v>
      </c>
      <c r="BT29" s="7"/>
    </row>
    <row r="30" ht="18.0">
      <c r="A30" s="30"/>
      <c r="B30" s="43"/>
      <c r="C30" s="32"/>
      <c r="D30" s="44"/>
      <c r="E30" s="45"/>
      <c r="F30" s="38" t="s">
        <v>87</v>
      </c>
      <c r="G30" s="36"/>
      <c r="H30" s="52">
        <v>50.0</v>
      </c>
      <c r="I30" s="45"/>
      <c r="J30" s="38"/>
      <c r="K30" s="38"/>
      <c r="L30" s="38"/>
      <c r="M30" s="38"/>
      <c r="N30" s="38">
        <v>1.0</v>
      </c>
      <c r="O30" s="39">
        <v>1.0</v>
      </c>
      <c r="P30" s="38"/>
      <c r="Q30" s="38"/>
      <c r="R30" s="38"/>
      <c r="S30" s="38"/>
      <c r="T30" s="38">
        <v>1.0</v>
      </c>
      <c r="U30" s="39">
        <v>1.0</v>
      </c>
      <c r="V30" s="12"/>
      <c r="W30" s="12"/>
      <c r="X30" s="12"/>
      <c r="Y30" s="35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9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9"/>
      <c r="BJ30" s="38"/>
      <c r="BK30" s="39"/>
      <c r="BL30" s="38">
        <v>45.0</v>
      </c>
      <c r="BM30" s="38">
        <f t="shared" si="8"/>
        <v>10.0</v>
      </c>
      <c r="BN30" s="39"/>
      <c r="BO30" s="38">
        <f t="shared" si="10"/>
        <v>35.0</v>
      </c>
      <c r="BP30" s="71"/>
      <c r="BQ30" s="41">
        <f t="shared" si="11"/>
        <v>4.0</v>
      </c>
      <c r="BR30" s="39">
        <f t="shared" si="12"/>
        <v>14.0</v>
      </c>
      <c r="BS30" s="42">
        <f t="shared" si="13"/>
        <v>0.222222222222222</v>
      </c>
      <c r="BT30" s="7"/>
    </row>
    <row r="31" ht="18.0">
      <c r="A31" s="30"/>
      <c r="B31" s="43"/>
      <c r="C31" s="32"/>
      <c r="D31" s="44"/>
      <c r="E31" s="45"/>
      <c r="F31" s="38" t="s">
        <v>89</v>
      </c>
      <c r="G31" s="36"/>
      <c r="H31" s="52">
        <v>50.0</v>
      </c>
      <c r="I31" s="45"/>
      <c r="J31" s="38">
        <v>1.0</v>
      </c>
      <c r="K31" s="38">
        <v>1.0</v>
      </c>
      <c r="L31" s="38"/>
      <c r="M31" s="38"/>
      <c r="N31" s="38"/>
      <c r="O31" s="39"/>
      <c r="P31" s="38"/>
      <c r="Q31" s="38">
        <v>1.0</v>
      </c>
      <c r="R31" s="38"/>
      <c r="S31" s="38"/>
      <c r="T31" s="38"/>
      <c r="U31" s="39"/>
      <c r="V31" s="12"/>
      <c r="W31" s="12"/>
      <c r="X31" s="12"/>
      <c r="Y31" s="35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9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9"/>
      <c r="BJ31" s="38"/>
      <c r="BK31" s="39"/>
      <c r="BL31" s="38">
        <v>45.0</v>
      </c>
      <c r="BM31" s="38">
        <f t="shared" si="8"/>
        <v>7.5</v>
      </c>
      <c r="BN31" s="39"/>
      <c r="BO31" s="38">
        <f t="shared" si="10"/>
        <v>37.5</v>
      </c>
      <c r="BP31" s="71"/>
      <c r="BQ31" s="41">
        <f t="shared" si="11"/>
        <v>3.0</v>
      </c>
      <c r="BR31" s="39">
        <f t="shared" si="12"/>
        <v>15.0</v>
      </c>
      <c r="BS31" s="42">
        <f t="shared" si="13"/>
        <v>0.166666666666667</v>
      </c>
      <c r="BT31" s="7"/>
    </row>
    <row r="32" ht="18.0">
      <c r="A32" s="37"/>
      <c r="B32" s="43"/>
      <c r="C32" s="65"/>
      <c r="D32" s="44"/>
      <c r="E32" s="56"/>
      <c r="F32" s="38" t="s">
        <v>89</v>
      </c>
      <c r="G32" s="55"/>
      <c r="H32" s="52">
        <v>70.0</v>
      </c>
      <c r="I32" s="56"/>
      <c r="J32" s="38"/>
      <c r="K32" s="38"/>
      <c r="L32" s="38">
        <v>1.0</v>
      </c>
      <c r="M32" s="38">
        <v>1.0</v>
      </c>
      <c r="N32" s="38"/>
      <c r="O32" s="39"/>
      <c r="P32" s="38"/>
      <c r="Q32" s="38"/>
      <c r="R32" s="38">
        <v>1.0</v>
      </c>
      <c r="S32" s="38">
        <v>1.0</v>
      </c>
      <c r="T32" s="38"/>
      <c r="U32" s="39"/>
      <c r="V32" s="12"/>
      <c r="W32" s="12"/>
      <c r="X32" s="12"/>
      <c r="Y32" s="35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9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9"/>
      <c r="BJ32" s="38"/>
      <c r="BK32" s="39"/>
      <c r="BL32" s="38">
        <v>45.0</v>
      </c>
      <c r="BM32" s="38">
        <f t="shared" si="8"/>
        <v>10.0</v>
      </c>
      <c r="BN32" s="39"/>
      <c r="BO32" s="38">
        <f t="shared" si="10"/>
        <v>35.0</v>
      </c>
      <c r="BP32" s="67"/>
      <c r="BQ32" s="41">
        <f t="shared" si="11"/>
        <v>4.0</v>
      </c>
      <c r="BR32" s="39">
        <f t="shared" si="12"/>
        <v>14.0</v>
      </c>
      <c r="BS32" s="42">
        <f t="shared" si="13"/>
        <v>0.222222222222222</v>
      </c>
      <c r="BT32" s="7"/>
    </row>
    <row r="33" ht="14.0">
      <c r="A33" s="58">
        <v>10.0</v>
      </c>
      <c r="B33" s="31" t="s">
        <v>90</v>
      </c>
      <c r="C33" s="83" t="s">
        <v>91</v>
      </c>
      <c r="D33" s="84">
        <v>46034</v>
      </c>
      <c r="E33" s="34">
        <v>46098</v>
      </c>
      <c r="F33" s="85" t="s">
        <v>92</v>
      </c>
      <c r="G33" s="48">
        <v>4.5</v>
      </c>
      <c r="H33" s="61">
        <v>138.0</v>
      </c>
      <c r="I33" s="38" t="s">
        <v>93</v>
      </c>
      <c r="J33" s="38">
        <v>1.0</v>
      </c>
      <c r="K33" s="38"/>
      <c r="L33" s="38"/>
      <c r="M33" s="38"/>
      <c r="N33" s="38"/>
      <c r="O33" s="39"/>
      <c r="P33" s="38">
        <v>1.0</v>
      </c>
      <c r="Q33" s="38">
        <v>1.0</v>
      </c>
      <c r="R33" s="38"/>
      <c r="S33" s="38"/>
      <c r="T33" s="38"/>
      <c r="U33" s="38"/>
      <c r="V33" s="55">
        <v>1.0</v>
      </c>
      <c r="W33" s="55"/>
      <c r="X33" s="55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9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9"/>
      <c r="BJ33" s="38"/>
      <c r="BK33" s="39"/>
      <c r="BL33" s="38">
        <v>45.0</v>
      </c>
      <c r="BM33" s="38">
        <f t="shared" si="8"/>
        <v>10.0</v>
      </c>
      <c r="BN33" s="39">
        <f>SUM(J33:BK36)*2.5</f>
        <v>40.0</v>
      </c>
      <c r="BO33" s="38">
        <f t="shared" si="10"/>
        <v>35.0</v>
      </c>
      <c r="BP33" s="49">
        <v>180.0</v>
      </c>
      <c r="BQ33" s="41">
        <f t="shared" si="11"/>
        <v>4.0</v>
      </c>
      <c r="BR33" s="39">
        <f t="shared" si="12"/>
        <v>14.0</v>
      </c>
      <c r="BS33" s="42">
        <f t="shared" si="13"/>
        <v>0.222222222222222</v>
      </c>
      <c r="BT33" s="7"/>
    </row>
    <row r="34" ht="14.0">
      <c r="A34" s="30"/>
      <c r="B34" s="43"/>
      <c r="C34" s="32"/>
      <c r="E34" s="45"/>
      <c r="F34" s="86"/>
      <c r="G34" s="36"/>
      <c r="H34" s="65"/>
      <c r="I34" s="38" t="s">
        <v>47</v>
      </c>
      <c r="J34" s="38">
        <v>1.0</v>
      </c>
      <c r="K34" s="38"/>
      <c r="L34" s="38"/>
      <c r="M34" s="38"/>
      <c r="N34" s="38"/>
      <c r="O34" s="39"/>
      <c r="P34" s="38">
        <v>1.0</v>
      </c>
      <c r="Q34" s="38">
        <v>1.0</v>
      </c>
      <c r="R34" s="38"/>
      <c r="S34" s="38"/>
      <c r="T34" s="38"/>
      <c r="U34" s="38"/>
      <c r="V34" s="38">
        <v>1.0</v>
      </c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9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9"/>
      <c r="BJ34" s="38"/>
      <c r="BK34" s="39"/>
      <c r="BL34" s="38">
        <v>45.0</v>
      </c>
      <c r="BM34" s="38">
        <f t="shared" si="8"/>
        <v>10.0</v>
      </c>
      <c r="BN34" s="39"/>
      <c r="BO34" s="38">
        <f t="shared" si="10"/>
        <v>35.0</v>
      </c>
      <c r="BP34" s="71"/>
      <c r="BQ34" s="41">
        <f t="shared" si="11"/>
        <v>4.0</v>
      </c>
      <c r="BR34" s="39">
        <f t="shared" si="12"/>
        <v>14.0</v>
      </c>
      <c r="BS34" s="42">
        <f t="shared" si="13"/>
        <v>0.222222222222222</v>
      </c>
      <c r="BT34" s="7"/>
    </row>
    <row r="35">
      <c r="A35" s="30"/>
      <c r="B35" s="43"/>
      <c r="C35" s="32"/>
      <c r="E35" s="45"/>
      <c r="F35" s="70" t="s">
        <v>94</v>
      </c>
      <c r="G35" s="36"/>
      <c r="H35" s="87">
        <v>132.0</v>
      </c>
      <c r="I35" s="38"/>
      <c r="J35" s="38">
        <v>1.0</v>
      </c>
      <c r="K35" s="38"/>
      <c r="L35" s="38"/>
      <c r="M35" s="38"/>
      <c r="N35" s="38"/>
      <c r="O35" s="39"/>
      <c r="P35" s="38">
        <v>1.0</v>
      </c>
      <c r="Q35" s="38">
        <v>1.0</v>
      </c>
      <c r="R35" s="38"/>
      <c r="S35" s="38"/>
      <c r="T35" s="38"/>
      <c r="U35" s="38"/>
      <c r="V35" s="38">
        <v>1.0</v>
      </c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9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9"/>
      <c r="BJ35" s="38"/>
      <c r="BK35" s="39"/>
      <c r="BL35" s="38">
        <v>45.0</v>
      </c>
      <c r="BM35" s="38">
        <f t="shared" si="8"/>
        <v>10.0</v>
      </c>
      <c r="BN35" s="39"/>
      <c r="BO35" s="38">
        <f t="shared" si="10"/>
        <v>35.0</v>
      </c>
      <c r="BP35" s="71"/>
      <c r="BQ35" s="41">
        <f t="shared" si="11"/>
        <v>4.0</v>
      </c>
      <c r="BR35" s="39">
        <f t="shared" si="12"/>
        <v>14.0</v>
      </c>
      <c r="BS35" s="42">
        <f t="shared" si="13"/>
        <v>0.222222222222222</v>
      </c>
      <c r="BT35" s="7"/>
    </row>
    <row r="36">
      <c r="A36" s="37"/>
      <c r="B36" s="43"/>
      <c r="C36" s="65"/>
      <c r="D36" s="88"/>
      <c r="E36" s="56"/>
      <c r="F36" s="86"/>
      <c r="G36" s="55"/>
      <c r="H36" s="65"/>
      <c r="I36" s="38"/>
      <c r="J36" s="38">
        <v>1.0</v>
      </c>
      <c r="K36" s="38"/>
      <c r="L36" s="38"/>
      <c r="M36" s="38"/>
      <c r="N36" s="38"/>
      <c r="O36" s="39"/>
      <c r="P36" s="38">
        <v>1.0</v>
      </c>
      <c r="Q36" s="38">
        <v>1.0</v>
      </c>
      <c r="R36" s="38"/>
      <c r="S36" s="38"/>
      <c r="T36" s="38"/>
      <c r="U36" s="38"/>
      <c r="V36" s="38">
        <v>1.0</v>
      </c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9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9"/>
      <c r="BJ36" s="38"/>
      <c r="BK36" s="39"/>
      <c r="BL36" s="38">
        <v>45.0</v>
      </c>
      <c r="BM36" s="38">
        <f t="shared" si="8"/>
        <v>10.0</v>
      </c>
      <c r="BN36" s="39"/>
      <c r="BO36" s="38">
        <f t="shared" si="10"/>
        <v>35.0</v>
      </c>
      <c r="BP36" s="67"/>
      <c r="BQ36" s="41">
        <f t="shared" si="11"/>
        <v>4.0</v>
      </c>
      <c r="BR36" s="39">
        <f t="shared" si="12"/>
        <v>14.0</v>
      </c>
      <c r="BS36" s="42">
        <f t="shared" si="13"/>
        <v>0.222222222222222</v>
      </c>
      <c r="BT36" s="7"/>
    </row>
    <row r="37" ht="14.0">
      <c r="A37" s="58">
        <v>11.0</v>
      </c>
      <c r="B37" s="31" t="s">
        <v>95</v>
      </c>
      <c r="C37" s="61" t="s">
        <v>96</v>
      </c>
      <c r="D37" s="77">
        <v>46034</v>
      </c>
      <c r="E37" s="34">
        <v>46101</v>
      </c>
      <c r="F37" s="70" t="s">
        <v>97</v>
      </c>
      <c r="G37" s="48">
        <v>1.4</v>
      </c>
      <c r="H37" s="61">
        <v>88.0</v>
      </c>
      <c r="I37" s="48" t="s">
        <v>45</v>
      </c>
      <c r="J37" s="48">
        <v>1.0</v>
      </c>
      <c r="K37" s="38"/>
      <c r="L37" s="38"/>
      <c r="M37" s="38"/>
      <c r="N37" s="38"/>
      <c r="O37" s="39"/>
      <c r="P37" s="48"/>
      <c r="Q37" s="38"/>
      <c r="R37" s="38"/>
      <c r="S37" s="38"/>
      <c r="T37" s="48">
        <v>1.0</v>
      </c>
      <c r="U37" s="38"/>
      <c r="V37" s="38"/>
      <c r="W37" s="48">
        <v>1.0</v>
      </c>
      <c r="X37" s="38"/>
      <c r="Y37" s="38"/>
      <c r="Z37" s="48">
        <v>1.0</v>
      </c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9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9"/>
      <c r="BJ37" s="38"/>
      <c r="BK37" s="39"/>
      <c r="BL37" s="48">
        <v>45.0</v>
      </c>
      <c r="BM37" s="51">
        <f t="shared" si="8"/>
        <v>10.0</v>
      </c>
      <c r="BN37" s="39">
        <f>SUM(J37:BK38)*2.5</f>
        <v>10.0</v>
      </c>
      <c r="BO37" s="48">
        <f t="shared" si="10"/>
        <v>35.0</v>
      </c>
      <c r="BP37" s="49">
        <v>45.0</v>
      </c>
      <c r="BQ37" s="53">
        <f t="shared" si="11"/>
        <v>4.0</v>
      </c>
      <c r="BR37" s="49">
        <f t="shared" si="12"/>
        <v>14.0</v>
      </c>
      <c r="BS37" s="42">
        <f t="shared" si="13"/>
        <v>0.222222222222222</v>
      </c>
      <c r="BT37" s="7"/>
    </row>
    <row r="38">
      <c r="A38" s="37"/>
      <c r="B38" s="43"/>
      <c r="C38" s="32"/>
      <c r="D38" s="30"/>
      <c r="E38" s="56"/>
      <c r="F38" s="73"/>
      <c r="G38" s="55"/>
      <c r="H38" s="65"/>
      <c r="I38" s="89"/>
      <c r="J38" s="56"/>
      <c r="K38" s="38"/>
      <c r="L38" s="38"/>
      <c r="M38" s="38"/>
      <c r="N38" s="38"/>
      <c r="O38" s="39"/>
      <c r="P38" s="38"/>
      <c r="Q38" s="35"/>
      <c r="R38" s="38"/>
      <c r="S38" s="38"/>
      <c r="T38" s="56"/>
      <c r="U38" s="38"/>
      <c r="V38" s="48"/>
      <c r="W38" s="56"/>
      <c r="X38" s="38"/>
      <c r="Y38" s="38"/>
      <c r="Z38" s="56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9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9"/>
      <c r="BJ38" s="38"/>
      <c r="BK38" s="39"/>
      <c r="BL38" s="56"/>
      <c r="BM38" s="57"/>
      <c r="BN38" s="39"/>
      <c r="BO38" s="56"/>
      <c r="BP38" s="67"/>
      <c r="BQ38" s="41"/>
      <c r="BR38" s="67"/>
      <c r="BS38" s="42"/>
      <c r="BT38" s="7"/>
    </row>
    <row r="39" ht="18.0">
      <c r="A39" s="58">
        <v>12.0</v>
      </c>
      <c r="B39" s="31" t="s">
        <v>98</v>
      </c>
      <c r="C39" s="61" t="s">
        <v>99</v>
      </c>
      <c r="D39" s="77">
        <v>46034</v>
      </c>
      <c r="E39" s="34">
        <v>46101</v>
      </c>
      <c r="F39" s="69" t="s">
        <v>65</v>
      </c>
      <c r="G39" s="48">
        <v>1.68</v>
      </c>
      <c r="H39" s="64">
        <v>51.0</v>
      </c>
      <c r="I39" s="38" t="s">
        <v>84</v>
      </c>
      <c r="J39" s="38">
        <v>1.0</v>
      </c>
      <c r="K39" s="38"/>
      <c r="L39" s="38"/>
      <c r="M39" s="38"/>
      <c r="N39" s="38"/>
      <c r="O39" s="39"/>
      <c r="P39" s="55">
        <v>1.0</v>
      </c>
      <c r="Q39" s="35"/>
      <c r="R39" s="38"/>
      <c r="S39" s="38"/>
      <c r="T39" s="38">
        <v>1.0</v>
      </c>
      <c r="U39" s="39"/>
      <c r="V39" s="38"/>
      <c r="W39" s="35"/>
      <c r="X39" s="38"/>
      <c r="Y39" s="38"/>
      <c r="Z39" s="38"/>
      <c r="AA39" s="38">
        <v>1.0</v>
      </c>
      <c r="AB39" s="38">
        <v>1.0</v>
      </c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9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9"/>
      <c r="BJ39" s="38"/>
      <c r="BK39" s="39"/>
      <c r="BL39" s="55">
        <v>45.0</v>
      </c>
      <c r="BM39" s="38">
        <f t="shared" ref="BM39:BM41" si="21">SUM(J39:BK39)*2.5</f>
        <v>12.5</v>
      </c>
      <c r="BN39" s="39">
        <f>SUM(J39:BK40)*2.5</f>
        <v>25.0</v>
      </c>
      <c r="BO39" s="38">
        <f t="shared" ref="BO39:BO41" si="23">BL39-BM39</f>
        <v>32.5</v>
      </c>
      <c r="BP39" s="49">
        <v>90.0</v>
      </c>
      <c r="BQ39" s="41">
        <f t="shared" ref="BQ39:BQ41" si="24">BM39/2.5</f>
        <v>5.0</v>
      </c>
      <c r="BR39" s="39">
        <f t="shared" ref="BR39:BR41" si="25">BO39/2.5</f>
        <v>13.0</v>
      </c>
      <c r="BS39" s="42">
        <f t="shared" ref="BS39:BS41" si="26">BQ39/18</f>
        <v>0.277777777777778</v>
      </c>
      <c r="BT39" s="7"/>
    </row>
    <row r="40" ht="15.0">
      <c r="A40" s="30"/>
      <c r="B40" s="43"/>
      <c r="C40" s="65"/>
      <c r="D40" s="37"/>
      <c r="E40" s="56"/>
      <c r="F40" s="69" t="s">
        <v>100</v>
      </c>
      <c r="G40" s="55"/>
      <c r="H40" s="82">
        <v>50.0</v>
      </c>
      <c r="I40" s="38"/>
      <c r="J40" s="38">
        <v>1.0</v>
      </c>
      <c r="K40" s="48"/>
      <c r="L40" s="38"/>
      <c r="M40" s="38"/>
      <c r="N40" s="38"/>
      <c r="O40" s="39"/>
      <c r="P40" s="55">
        <v>1.0</v>
      </c>
      <c r="Q40" s="48"/>
      <c r="R40" s="38"/>
      <c r="S40" s="38"/>
      <c r="T40" s="38">
        <v>1.0</v>
      </c>
      <c r="U40" s="39"/>
      <c r="V40" s="60"/>
      <c r="W40" s="35"/>
      <c r="X40" s="38"/>
      <c r="Y40" s="38"/>
      <c r="Z40" s="38"/>
      <c r="AA40" s="38">
        <v>1.0</v>
      </c>
      <c r="AB40" s="38">
        <v>1.0</v>
      </c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9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9"/>
      <c r="BJ40" s="38"/>
      <c r="BK40" s="39"/>
      <c r="BL40" s="55">
        <v>45.0</v>
      </c>
      <c r="BM40" s="38">
        <f t="shared" si="21"/>
        <v>12.5</v>
      </c>
      <c r="BN40" s="39"/>
      <c r="BO40" s="38">
        <f t="shared" si="23"/>
        <v>32.5</v>
      </c>
      <c r="BP40" s="67"/>
      <c r="BQ40" s="41">
        <f t="shared" si="24"/>
        <v>5.0</v>
      </c>
      <c r="BR40" s="39">
        <f t="shared" si="25"/>
        <v>13.0</v>
      </c>
      <c r="BS40" s="42">
        <f t="shared" si="26"/>
        <v>0.277777777777778</v>
      </c>
      <c r="BT40" s="7"/>
    </row>
    <row r="41" ht="14.0">
      <c r="A41" s="58">
        <v>13.0</v>
      </c>
      <c r="B41" s="31" t="s">
        <v>101</v>
      </c>
      <c r="C41" s="87" t="s">
        <v>102</v>
      </c>
      <c r="D41" s="90">
        <v>46034</v>
      </c>
      <c r="E41" s="34">
        <v>46093</v>
      </c>
      <c r="F41" s="70" t="s">
        <v>83</v>
      </c>
      <c r="G41" s="48">
        <v>1.28</v>
      </c>
      <c r="H41" s="82">
        <v>77.0</v>
      </c>
      <c r="I41" s="48" t="s">
        <v>71</v>
      </c>
      <c r="J41" s="49">
        <v>1.0</v>
      </c>
      <c r="K41" s="38"/>
      <c r="L41" s="35"/>
      <c r="M41" s="38"/>
      <c r="N41" s="38"/>
      <c r="O41" s="39"/>
      <c r="P41" s="49">
        <v>1.0</v>
      </c>
      <c r="Q41" s="38"/>
      <c r="R41" s="51">
        <v>1.0</v>
      </c>
      <c r="S41" s="38"/>
      <c r="T41" s="38"/>
      <c r="U41" s="38"/>
      <c r="V41" s="55"/>
      <c r="W41" s="48">
        <v>1.0</v>
      </c>
      <c r="X41" s="38"/>
      <c r="Y41" s="38"/>
      <c r="Z41" s="38"/>
      <c r="AA41" s="38"/>
      <c r="AB41" s="48">
        <v>1.0</v>
      </c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9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9"/>
      <c r="BJ41" s="38"/>
      <c r="BK41" s="39"/>
      <c r="BL41" s="48">
        <v>45.0</v>
      </c>
      <c r="BM41" s="48">
        <f t="shared" si="21"/>
        <v>12.5</v>
      </c>
      <c r="BN41" s="39">
        <f>SUM(J41:BK42)*2.5</f>
        <v>12.5</v>
      </c>
      <c r="BO41" s="48">
        <f t="shared" si="23"/>
        <v>32.5</v>
      </c>
      <c r="BP41" s="49">
        <v>45.0</v>
      </c>
      <c r="BQ41" s="53">
        <f t="shared" si="24"/>
        <v>5.0</v>
      </c>
      <c r="BR41" s="49">
        <f t="shared" si="25"/>
        <v>13.0</v>
      </c>
      <c r="BS41" s="42">
        <f t="shared" si="26"/>
        <v>0.277777777777778</v>
      </c>
      <c r="BT41" s="7"/>
    </row>
    <row r="42" ht="14.0">
      <c r="A42" s="30"/>
      <c r="B42" s="31"/>
      <c r="C42" s="2"/>
      <c r="D42" s="44"/>
      <c r="E42" s="56"/>
      <c r="F42" s="73"/>
      <c r="G42" s="55"/>
      <c r="H42" s="91"/>
      <c r="I42" s="89" t="s">
        <v>51</v>
      </c>
      <c r="J42" s="67"/>
      <c r="K42" s="12"/>
      <c r="L42" s="35"/>
      <c r="M42" s="38"/>
      <c r="N42" s="38"/>
      <c r="O42" s="39"/>
      <c r="P42" s="41"/>
      <c r="Q42" s="38"/>
      <c r="R42" s="57"/>
      <c r="S42" s="38"/>
      <c r="T42" s="38"/>
      <c r="U42" s="38"/>
      <c r="V42" s="38"/>
      <c r="W42" s="56"/>
      <c r="X42" s="38"/>
      <c r="Y42" s="38"/>
      <c r="Z42" s="38"/>
      <c r="AA42" s="38"/>
      <c r="AB42" s="56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9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9"/>
      <c r="BJ42" s="38"/>
      <c r="BK42" s="39"/>
      <c r="BL42" s="56"/>
      <c r="BM42" s="56"/>
      <c r="BN42" s="39"/>
      <c r="BO42" s="56"/>
      <c r="BP42" s="67"/>
      <c r="BQ42" s="41"/>
      <c r="BR42" s="67"/>
      <c r="BS42" s="42"/>
      <c r="BT42" s="7"/>
    </row>
    <row r="43" ht="14.0">
      <c r="A43" s="58">
        <v>14.0</v>
      </c>
      <c r="B43" s="31" t="s">
        <v>103</v>
      </c>
      <c r="C43" s="83" t="s">
        <v>104</v>
      </c>
      <c r="D43" s="92">
        <v>46043</v>
      </c>
      <c r="E43" s="34">
        <v>46114</v>
      </c>
      <c r="F43" s="38" t="s">
        <v>105</v>
      </c>
      <c r="G43" s="48">
        <v>3.33</v>
      </c>
      <c r="H43" s="60">
        <v>50.0</v>
      </c>
      <c r="I43" s="38" t="s">
        <v>106</v>
      </c>
      <c r="J43" s="38"/>
      <c r="K43" s="55"/>
      <c r="L43" s="38">
        <v>1.0</v>
      </c>
      <c r="M43" s="38"/>
      <c r="N43" s="38"/>
      <c r="O43" s="39">
        <v>1.0</v>
      </c>
      <c r="P43" s="38"/>
      <c r="Q43" s="55"/>
      <c r="R43" s="38"/>
      <c r="S43" s="38">
        <v>1.0</v>
      </c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9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9"/>
      <c r="BJ43" s="38"/>
      <c r="BK43" s="39"/>
      <c r="BL43" s="38">
        <v>45.0</v>
      </c>
      <c r="BM43" s="38">
        <f t="shared" ref="BM43:BM51" si="28">SUM(J43:BK43)*2.5</f>
        <v>7.5</v>
      </c>
      <c r="BN43" s="49">
        <f>SUM(J43:BK46)*2.5</f>
        <v>30.0</v>
      </c>
      <c r="BO43" s="38">
        <f t="shared" ref="BO43:BO51" si="30">BL43-BM43</f>
        <v>37.5</v>
      </c>
      <c r="BP43" s="49">
        <v>180.0</v>
      </c>
      <c r="BQ43" s="41">
        <f t="shared" ref="BQ43:BQ51" si="31">BM43/2.5</f>
        <v>3.0</v>
      </c>
      <c r="BR43" s="39">
        <f t="shared" ref="BR43:BR51" si="32">BO43/2.5</f>
        <v>15.0</v>
      </c>
      <c r="BS43" s="42">
        <f t="shared" ref="BS43:BS51" si="33">BQ43/18</f>
        <v>0.166666666666667</v>
      </c>
      <c r="BT43" s="7"/>
    </row>
    <row r="44" ht="14.0">
      <c r="A44" s="71"/>
      <c r="B44" s="43"/>
      <c r="C44" s="93"/>
      <c r="D44" s="71"/>
      <c r="E44" s="45"/>
      <c r="F44" s="38" t="s">
        <v>107</v>
      </c>
      <c r="G44" s="45"/>
      <c r="H44" s="60">
        <v>50.0</v>
      </c>
      <c r="I44" s="38"/>
      <c r="J44" s="38"/>
      <c r="K44" s="38"/>
      <c r="L44" s="38">
        <v>1.0</v>
      </c>
      <c r="M44" s="38"/>
      <c r="N44" s="38"/>
      <c r="O44" s="39">
        <v>1.0</v>
      </c>
      <c r="P44" s="38"/>
      <c r="Q44" s="38"/>
      <c r="R44" s="38"/>
      <c r="S44" s="38">
        <v>1.0</v>
      </c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9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9"/>
      <c r="BJ44" s="38"/>
      <c r="BK44" s="39"/>
      <c r="BL44" s="38">
        <v>45.0</v>
      </c>
      <c r="BM44" s="38">
        <f t="shared" si="28"/>
        <v>7.5</v>
      </c>
      <c r="BN44" s="71"/>
      <c r="BO44" s="38">
        <f t="shared" si="30"/>
        <v>37.5</v>
      </c>
      <c r="BP44" s="71"/>
      <c r="BQ44" s="41">
        <f t="shared" si="31"/>
        <v>3.0</v>
      </c>
      <c r="BR44" s="39">
        <f t="shared" si="32"/>
        <v>15.0</v>
      </c>
      <c r="BS44" s="42">
        <f t="shared" si="33"/>
        <v>0.166666666666667</v>
      </c>
      <c r="BT44" s="7"/>
    </row>
    <row r="45" ht="14.0">
      <c r="A45" s="71"/>
      <c r="B45" s="43"/>
      <c r="C45" s="93"/>
      <c r="D45" s="71"/>
      <c r="E45" s="45"/>
      <c r="F45" s="38" t="s">
        <v>107</v>
      </c>
      <c r="G45" s="45"/>
      <c r="H45" s="60">
        <v>50.0</v>
      </c>
      <c r="I45" s="38"/>
      <c r="J45" s="38"/>
      <c r="K45" s="38"/>
      <c r="L45" s="38"/>
      <c r="M45" s="38">
        <v>1.0</v>
      </c>
      <c r="N45" s="38"/>
      <c r="O45" s="39"/>
      <c r="P45" s="38"/>
      <c r="Q45" s="38"/>
      <c r="R45" s="38"/>
      <c r="S45" s="38"/>
      <c r="T45" s="38">
        <v>1.0</v>
      </c>
      <c r="U45" s="38">
        <v>1.0</v>
      </c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9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9"/>
      <c r="BJ45" s="38"/>
      <c r="BK45" s="39"/>
      <c r="BL45" s="38">
        <v>45.0</v>
      </c>
      <c r="BM45" s="38">
        <f t="shared" si="28"/>
        <v>7.5</v>
      </c>
      <c r="BN45" s="71"/>
      <c r="BO45" s="38">
        <f t="shared" si="30"/>
        <v>37.5</v>
      </c>
      <c r="BP45" s="71"/>
      <c r="BQ45" s="41">
        <f t="shared" si="31"/>
        <v>3.0</v>
      </c>
      <c r="BR45" s="39">
        <f t="shared" si="32"/>
        <v>15.0</v>
      </c>
      <c r="BS45" s="42">
        <f t="shared" si="33"/>
        <v>0.166666666666667</v>
      </c>
      <c r="BT45" s="7"/>
    </row>
    <row r="46" ht="14.0">
      <c r="A46" s="67"/>
      <c r="B46" s="43"/>
      <c r="C46" s="57"/>
      <c r="D46" s="67"/>
      <c r="E46" s="56"/>
      <c r="F46" s="38" t="s">
        <v>108</v>
      </c>
      <c r="G46" s="56"/>
      <c r="H46" s="60">
        <v>50.0</v>
      </c>
      <c r="I46" s="38"/>
      <c r="J46" s="38"/>
      <c r="K46" s="38"/>
      <c r="L46" s="38"/>
      <c r="M46" s="38">
        <v>1.0</v>
      </c>
      <c r="N46" s="38"/>
      <c r="O46" s="39"/>
      <c r="P46" s="38"/>
      <c r="Q46" s="38"/>
      <c r="R46" s="38"/>
      <c r="S46" s="38"/>
      <c r="T46" s="38">
        <v>1.0</v>
      </c>
      <c r="U46" s="38">
        <v>1.0</v>
      </c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9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9"/>
      <c r="BJ46" s="38"/>
      <c r="BK46" s="39"/>
      <c r="BL46" s="38">
        <v>45.0</v>
      </c>
      <c r="BM46" s="38">
        <f t="shared" si="28"/>
        <v>7.5</v>
      </c>
      <c r="BN46" s="67"/>
      <c r="BO46" s="38">
        <f t="shared" si="30"/>
        <v>37.5</v>
      </c>
      <c r="BP46" s="67"/>
      <c r="BQ46" s="41">
        <f t="shared" si="31"/>
        <v>3.0</v>
      </c>
      <c r="BR46" s="39">
        <f t="shared" si="32"/>
        <v>15.0</v>
      </c>
      <c r="BS46" s="42">
        <f t="shared" si="33"/>
        <v>0.166666666666667</v>
      </c>
      <c r="BT46" s="7"/>
    </row>
    <row r="47" ht="14.0">
      <c r="A47" s="58">
        <v>15.0</v>
      </c>
      <c r="B47" s="31" t="s">
        <v>109</v>
      </c>
      <c r="C47" s="61" t="s">
        <v>110</v>
      </c>
      <c r="D47" s="92">
        <v>46049</v>
      </c>
      <c r="E47" s="34">
        <v>46108</v>
      </c>
      <c r="F47" s="39" t="s">
        <v>111</v>
      </c>
      <c r="G47" s="48">
        <v>5.75</v>
      </c>
      <c r="H47" s="38">
        <v>100.0</v>
      </c>
      <c r="I47" s="38" t="s">
        <v>112</v>
      </c>
      <c r="J47" s="38"/>
      <c r="K47" s="38">
        <v>1.0</v>
      </c>
      <c r="L47" s="38">
        <v>1.0</v>
      </c>
      <c r="M47" s="38"/>
      <c r="N47" s="38">
        <v>1.0</v>
      </c>
      <c r="O47" s="39"/>
      <c r="P47" s="38">
        <v>1.0</v>
      </c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9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9"/>
      <c r="BJ47" s="38"/>
      <c r="BK47" s="39"/>
      <c r="BL47" s="38">
        <v>45.0</v>
      </c>
      <c r="BM47" s="38">
        <f t="shared" si="28"/>
        <v>10.0</v>
      </c>
      <c r="BN47" s="39">
        <f>SUM(J47:BK50)*2.5</f>
        <v>40.0</v>
      </c>
      <c r="BO47" s="38">
        <f t="shared" si="30"/>
        <v>35.0</v>
      </c>
      <c r="BP47" s="49">
        <v>180.0</v>
      </c>
      <c r="BQ47" s="41">
        <f t="shared" si="31"/>
        <v>4.0</v>
      </c>
      <c r="BR47" s="39">
        <f t="shared" si="32"/>
        <v>14.0</v>
      </c>
      <c r="BS47" s="42">
        <f t="shared" si="33"/>
        <v>0.222222222222222</v>
      </c>
      <c r="BT47" s="7"/>
    </row>
    <row r="48" ht="14.0">
      <c r="A48" s="53"/>
      <c r="B48" s="43"/>
      <c r="C48" s="94"/>
      <c r="D48" s="71"/>
      <c r="E48" s="45"/>
      <c r="F48" s="39" t="s">
        <v>113</v>
      </c>
      <c r="G48" s="36"/>
      <c r="H48" s="38">
        <v>100.0</v>
      </c>
      <c r="I48" s="38" t="s">
        <v>62</v>
      </c>
      <c r="J48" s="38"/>
      <c r="K48" s="38">
        <v>1.0</v>
      </c>
      <c r="L48" s="38">
        <v>1.0</v>
      </c>
      <c r="M48" s="38"/>
      <c r="N48" s="38">
        <v>1.0</v>
      </c>
      <c r="O48" s="39"/>
      <c r="P48" s="38">
        <v>1.0</v>
      </c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9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9"/>
      <c r="BJ48" s="38"/>
      <c r="BK48" s="39"/>
      <c r="BL48" s="38">
        <v>45.0</v>
      </c>
      <c r="BM48" s="38">
        <f t="shared" si="28"/>
        <v>10.0</v>
      </c>
      <c r="BN48" s="39"/>
      <c r="BO48" s="38">
        <f t="shared" si="30"/>
        <v>35.0</v>
      </c>
      <c r="BP48" s="71"/>
      <c r="BQ48" s="41">
        <f t="shared" si="31"/>
        <v>4.0</v>
      </c>
      <c r="BR48" s="39">
        <f t="shared" si="32"/>
        <v>14.0</v>
      </c>
      <c r="BS48" s="42">
        <f t="shared" si="33"/>
        <v>0.222222222222222</v>
      </c>
      <c r="BT48" s="7"/>
    </row>
    <row r="49" ht="14.0">
      <c r="A49" s="53"/>
      <c r="B49" s="43"/>
      <c r="C49" s="94"/>
      <c r="D49" s="71"/>
      <c r="E49" s="45"/>
      <c r="F49" s="39" t="s">
        <v>111</v>
      </c>
      <c r="G49" s="36"/>
      <c r="H49" s="38">
        <v>50.0</v>
      </c>
      <c r="I49" s="38"/>
      <c r="J49" s="38"/>
      <c r="K49" s="38">
        <v>1.0</v>
      </c>
      <c r="L49" s="38">
        <v>1.0</v>
      </c>
      <c r="M49" s="38"/>
      <c r="N49" s="38">
        <v>1.0</v>
      </c>
      <c r="O49" s="39"/>
      <c r="P49" s="38">
        <v>1.0</v>
      </c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9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9"/>
      <c r="BJ49" s="38"/>
      <c r="BK49" s="39"/>
      <c r="BL49" s="38">
        <v>45.0</v>
      </c>
      <c r="BM49" s="38">
        <f t="shared" si="28"/>
        <v>10.0</v>
      </c>
      <c r="BN49" s="39"/>
      <c r="BO49" s="38">
        <f t="shared" si="30"/>
        <v>35.0</v>
      </c>
      <c r="BP49" s="71"/>
      <c r="BQ49" s="41">
        <f t="shared" si="31"/>
        <v>4.0</v>
      </c>
      <c r="BR49" s="39">
        <f t="shared" si="32"/>
        <v>14.0</v>
      </c>
      <c r="BS49" s="42">
        <f t="shared" si="33"/>
        <v>0.222222222222222</v>
      </c>
      <c r="BT49" s="7"/>
    </row>
    <row r="50" ht="14.0">
      <c r="A50" s="41"/>
      <c r="B50" s="43"/>
      <c r="C50" s="54"/>
      <c r="D50" s="67"/>
      <c r="E50" s="56"/>
      <c r="F50" s="39" t="s">
        <v>113</v>
      </c>
      <c r="G50" s="55"/>
      <c r="H50" s="38">
        <v>95.0</v>
      </c>
      <c r="I50" s="38"/>
      <c r="J50" s="38"/>
      <c r="K50" s="38">
        <v>1.0</v>
      </c>
      <c r="L50" s="38">
        <v>1.0</v>
      </c>
      <c r="M50" s="38"/>
      <c r="N50" s="38">
        <v>1.0</v>
      </c>
      <c r="O50" s="39"/>
      <c r="P50" s="38">
        <v>1.0</v>
      </c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9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9"/>
      <c r="BJ50" s="38"/>
      <c r="BK50" s="39"/>
      <c r="BL50" s="38">
        <v>45.0</v>
      </c>
      <c r="BM50" s="38">
        <f t="shared" si="28"/>
        <v>10.0</v>
      </c>
      <c r="BN50" s="39"/>
      <c r="BO50" s="38">
        <f t="shared" si="30"/>
        <v>35.0</v>
      </c>
      <c r="BP50" s="67"/>
      <c r="BQ50" s="41">
        <f t="shared" si="31"/>
        <v>4.0</v>
      </c>
      <c r="BR50" s="39">
        <f t="shared" si="32"/>
        <v>14.0</v>
      </c>
      <c r="BS50" s="42">
        <f t="shared" si="33"/>
        <v>0.222222222222222</v>
      </c>
      <c r="BT50" s="7"/>
    </row>
    <row r="51" ht="18.0">
      <c r="A51" s="58">
        <v>16.0</v>
      </c>
      <c r="B51" s="31" t="s">
        <v>114</v>
      </c>
      <c r="C51" s="61" t="s">
        <v>115</v>
      </c>
      <c r="D51" s="92">
        <v>46041</v>
      </c>
      <c r="E51" s="34">
        <v>46100</v>
      </c>
      <c r="F51" s="95" t="s">
        <v>116</v>
      </c>
      <c r="G51" s="48">
        <v>4.08</v>
      </c>
      <c r="H51" s="52">
        <v>97.0</v>
      </c>
      <c r="I51" s="48" t="s">
        <v>117</v>
      </c>
      <c r="J51" s="48">
        <v>1.0</v>
      </c>
      <c r="K51" s="48">
        <v>1.0</v>
      </c>
      <c r="L51" s="48">
        <v>1.0</v>
      </c>
      <c r="M51" s="48">
        <v>1.0</v>
      </c>
      <c r="N51" s="38"/>
      <c r="O51" s="39"/>
      <c r="P51" s="38"/>
      <c r="Q51" s="48">
        <v>1.0</v>
      </c>
      <c r="R51" s="48">
        <v>1.0</v>
      </c>
      <c r="S51" s="48">
        <v>1.0</v>
      </c>
      <c r="T51" s="38"/>
      <c r="U51" s="38"/>
      <c r="V51" s="48">
        <v>1.0</v>
      </c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9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9"/>
      <c r="BJ51" s="38"/>
      <c r="BK51" s="39"/>
      <c r="BL51" s="48">
        <v>45.0</v>
      </c>
      <c r="BM51" s="51">
        <f t="shared" si="28"/>
        <v>20.0</v>
      </c>
      <c r="BN51" s="39">
        <f>SUM(J51:BK55)*2.5</f>
        <v>40.0</v>
      </c>
      <c r="BO51" s="48">
        <f t="shared" si="30"/>
        <v>25.0</v>
      </c>
      <c r="BP51" s="49">
        <v>45.0</v>
      </c>
      <c r="BQ51" s="53">
        <f t="shared" si="31"/>
        <v>8.0</v>
      </c>
      <c r="BR51" s="49">
        <f t="shared" si="32"/>
        <v>10.0</v>
      </c>
      <c r="BS51" s="42">
        <f t="shared" si="33"/>
        <v>0.444444444444444</v>
      </c>
      <c r="BT51" s="7"/>
    </row>
    <row r="52" ht="18.0">
      <c r="A52" s="53"/>
      <c r="B52" s="43"/>
      <c r="C52" s="94"/>
      <c r="D52" s="71"/>
      <c r="E52" s="45"/>
      <c r="F52" s="96"/>
      <c r="G52" s="36"/>
      <c r="H52" s="52">
        <v>44.0</v>
      </c>
      <c r="I52" s="89" t="s">
        <v>118</v>
      </c>
      <c r="J52" s="56"/>
      <c r="K52" s="56"/>
      <c r="L52" s="56"/>
      <c r="M52" s="56"/>
      <c r="N52" s="38"/>
      <c r="O52" s="39"/>
      <c r="P52" s="38"/>
      <c r="Q52" s="56"/>
      <c r="R52" s="56"/>
      <c r="S52" s="56"/>
      <c r="T52" s="38"/>
      <c r="U52" s="38"/>
      <c r="V52" s="56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9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9"/>
      <c r="BJ52" s="38"/>
      <c r="BK52" s="39"/>
      <c r="BL52" s="56"/>
      <c r="BM52" s="57"/>
      <c r="BN52" s="39"/>
      <c r="BO52" s="56"/>
      <c r="BP52" s="67"/>
      <c r="BQ52" s="41"/>
      <c r="BR52" s="67"/>
      <c r="BS52" s="42"/>
      <c r="BT52" s="7"/>
    </row>
    <row r="53" ht="18.0">
      <c r="A53" s="53"/>
      <c r="B53" s="43"/>
      <c r="C53" s="94"/>
      <c r="D53" s="71"/>
      <c r="E53" s="45"/>
      <c r="F53" s="96"/>
      <c r="G53" s="36"/>
      <c r="H53" s="52">
        <v>46.0</v>
      </c>
      <c r="I53" s="48" t="s">
        <v>48</v>
      </c>
      <c r="J53" s="48">
        <v>1.0</v>
      </c>
      <c r="K53" s="48">
        <v>1.0</v>
      </c>
      <c r="L53" s="48">
        <v>1.0</v>
      </c>
      <c r="M53" s="48">
        <v>1.0</v>
      </c>
      <c r="N53" s="38"/>
      <c r="O53" s="39"/>
      <c r="P53" s="38"/>
      <c r="Q53" s="48">
        <v>1.0</v>
      </c>
      <c r="R53" s="48">
        <v>1.0</v>
      </c>
      <c r="S53" s="48">
        <v>1.0</v>
      </c>
      <c r="T53" s="38"/>
      <c r="U53" s="38"/>
      <c r="V53" s="48">
        <v>1.0</v>
      </c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9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9"/>
      <c r="BJ53" s="38"/>
      <c r="BK53" s="39"/>
      <c r="BL53" s="48">
        <v>45.0</v>
      </c>
      <c r="BM53" s="51">
        <f>SUM(J53:BK53)*2.5</f>
        <v>20.0</v>
      </c>
      <c r="BN53" s="39"/>
      <c r="BO53" s="48">
        <f>BL53-BM53</f>
        <v>25.0</v>
      </c>
      <c r="BP53" s="49">
        <v>45.0</v>
      </c>
      <c r="BQ53" s="53">
        <f>BM53/2.5</f>
        <v>8.0</v>
      </c>
      <c r="BR53" s="49">
        <f>BO53/2.5</f>
        <v>10.0</v>
      </c>
      <c r="BS53" s="42">
        <f>BQ53/18</f>
        <v>0.444444444444444</v>
      </c>
      <c r="BT53" s="7"/>
    </row>
    <row r="54" ht="18.0">
      <c r="A54" s="53"/>
      <c r="B54" s="43"/>
      <c r="C54" s="94"/>
      <c r="D54" s="71"/>
      <c r="E54" s="45"/>
      <c r="F54" s="96"/>
      <c r="G54" s="36"/>
      <c r="H54" s="52">
        <v>29.0</v>
      </c>
      <c r="I54" s="97"/>
      <c r="J54" s="45"/>
      <c r="K54" s="45"/>
      <c r="L54" s="45"/>
      <c r="M54" s="45"/>
      <c r="N54" s="38"/>
      <c r="O54" s="39"/>
      <c r="P54" s="38"/>
      <c r="Q54" s="45"/>
      <c r="R54" s="45"/>
      <c r="S54" s="45"/>
      <c r="T54" s="38"/>
      <c r="U54" s="38"/>
      <c r="V54" s="45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9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9"/>
      <c r="BJ54" s="38"/>
      <c r="BK54" s="39"/>
      <c r="BL54" s="45"/>
      <c r="BM54" s="93"/>
      <c r="BN54" s="39"/>
      <c r="BO54" s="45"/>
      <c r="BP54" s="71"/>
      <c r="BQ54" s="53"/>
      <c r="BR54" s="71"/>
      <c r="BS54" s="42"/>
      <c r="BT54" s="7"/>
    </row>
    <row r="55" ht="18.0">
      <c r="A55" s="41"/>
      <c r="B55" s="43"/>
      <c r="C55" s="54"/>
      <c r="D55" s="67"/>
      <c r="E55" s="56"/>
      <c r="F55" s="98"/>
      <c r="G55" s="55"/>
      <c r="H55" s="52">
        <v>29.0</v>
      </c>
      <c r="I55" s="89"/>
      <c r="J55" s="56"/>
      <c r="K55" s="56"/>
      <c r="L55" s="56"/>
      <c r="M55" s="56"/>
      <c r="N55" s="38"/>
      <c r="O55" s="39"/>
      <c r="P55" s="38"/>
      <c r="Q55" s="56"/>
      <c r="R55" s="56"/>
      <c r="S55" s="56"/>
      <c r="T55" s="38"/>
      <c r="U55" s="38"/>
      <c r="V55" s="56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9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9"/>
      <c r="BJ55" s="38"/>
      <c r="BK55" s="39"/>
      <c r="BL55" s="56"/>
      <c r="BM55" s="57"/>
      <c r="BN55" s="39"/>
      <c r="BO55" s="56"/>
      <c r="BP55" s="67"/>
      <c r="BQ55" s="41"/>
      <c r="BR55" s="67"/>
      <c r="BS55" s="42"/>
      <c r="BT55" s="7"/>
    </row>
    <row r="56" ht="18.0">
      <c r="A56" s="58">
        <v>17.0</v>
      </c>
      <c r="B56" s="99" t="s">
        <v>119</v>
      </c>
      <c r="C56" s="61" t="s">
        <v>120</v>
      </c>
      <c r="D56" s="92">
        <v>46044</v>
      </c>
      <c r="E56" s="34">
        <v>46101</v>
      </c>
      <c r="F56" s="69" t="s">
        <v>121</v>
      </c>
      <c r="G56" s="48">
        <v>1.46</v>
      </c>
      <c r="H56" s="82">
        <v>49.0</v>
      </c>
      <c r="I56" s="38" t="s">
        <v>51</v>
      </c>
      <c r="J56" s="38"/>
      <c r="K56" s="38"/>
      <c r="L56" s="38"/>
      <c r="M56" s="38">
        <v>1.0</v>
      </c>
      <c r="N56" s="38">
        <v>1.0</v>
      </c>
      <c r="O56" s="39"/>
      <c r="P56" s="38"/>
      <c r="Q56" s="38"/>
      <c r="R56" s="38">
        <v>1.0</v>
      </c>
      <c r="S56" s="38"/>
      <c r="T56" s="38">
        <v>1.0</v>
      </c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9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9"/>
      <c r="BJ56" s="38"/>
      <c r="BK56" s="39"/>
      <c r="BL56" s="55">
        <v>45.0</v>
      </c>
      <c r="BM56" s="38">
        <f t="shared" ref="BM56:BM62" si="41">SUM(J56:BK56)*2.5</f>
        <v>10.0</v>
      </c>
      <c r="BN56" s="39">
        <f>SUM(J56:BK57)*2.5</f>
        <v>20.0</v>
      </c>
      <c r="BO56" s="38">
        <f t="shared" ref="BO56:BO62" si="43">BL56-BM56</f>
        <v>35.0</v>
      </c>
      <c r="BP56" s="39">
        <v>45.0</v>
      </c>
      <c r="BQ56" s="41">
        <f t="shared" ref="BQ56:BQ62" si="44">BM56/2.5</f>
        <v>4.0</v>
      </c>
      <c r="BR56" s="39">
        <f t="shared" ref="BR56:BR62" si="45">BO56/2.5</f>
        <v>14.0</v>
      </c>
      <c r="BS56" s="42">
        <f t="shared" ref="BS56:BS62" si="46">BQ56/18</f>
        <v>0.222222222222222</v>
      </c>
      <c r="BT56" s="7"/>
    </row>
    <row r="57" ht="18.0">
      <c r="A57" s="53"/>
      <c r="B57" s="43"/>
      <c r="C57" s="94"/>
      <c r="D57" s="71"/>
      <c r="E57" s="56"/>
      <c r="F57" s="69" t="s">
        <v>122</v>
      </c>
      <c r="G57" s="55"/>
      <c r="H57" s="82">
        <v>39.0</v>
      </c>
      <c r="I57" s="38"/>
      <c r="J57" s="38"/>
      <c r="K57" s="38"/>
      <c r="L57" s="38"/>
      <c r="M57" s="38">
        <v>1.0</v>
      </c>
      <c r="N57" s="38">
        <v>1.0</v>
      </c>
      <c r="O57" s="39"/>
      <c r="P57" s="38"/>
      <c r="Q57" s="38"/>
      <c r="R57" s="38">
        <v>1.0</v>
      </c>
      <c r="S57" s="38"/>
      <c r="T57" s="38">
        <v>1.0</v>
      </c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9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9"/>
      <c r="BJ57" s="38"/>
      <c r="BK57" s="39"/>
      <c r="BL57" s="36">
        <v>45.0</v>
      </c>
      <c r="BM57" s="38">
        <f t="shared" si="41"/>
        <v>10.0</v>
      </c>
      <c r="BN57" s="39"/>
      <c r="BO57" s="38">
        <f t="shared" si="43"/>
        <v>35.0</v>
      </c>
      <c r="BP57" s="39">
        <v>45.0</v>
      </c>
      <c r="BQ57" s="41">
        <f t="shared" si="44"/>
        <v>4.0</v>
      </c>
      <c r="BR57" s="39">
        <f t="shared" si="45"/>
        <v>14.0</v>
      </c>
      <c r="BS57" s="42">
        <f t="shared" si="46"/>
        <v>0.222222222222222</v>
      </c>
      <c r="BT57" s="7"/>
    </row>
    <row r="58" ht="14.0">
      <c r="A58" s="46">
        <v>18.0</v>
      </c>
      <c r="B58" s="31" t="s">
        <v>123</v>
      </c>
      <c r="C58" s="100" t="s">
        <v>124</v>
      </c>
      <c r="D58" s="92">
        <v>46049</v>
      </c>
      <c r="E58" s="34">
        <v>46108</v>
      </c>
      <c r="F58" s="69" t="s">
        <v>65</v>
      </c>
      <c r="G58" s="48">
        <v>1.4</v>
      </c>
      <c r="H58" s="35">
        <v>43.0</v>
      </c>
      <c r="I58" s="38" t="s">
        <v>61</v>
      </c>
      <c r="J58" s="38"/>
      <c r="K58" s="38">
        <v>1.0</v>
      </c>
      <c r="L58" s="38"/>
      <c r="M58" s="38"/>
      <c r="N58" s="38">
        <v>1.0</v>
      </c>
      <c r="O58" s="39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9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9"/>
      <c r="BJ58" s="38"/>
      <c r="BK58" s="39"/>
      <c r="BL58" s="38">
        <v>45.0</v>
      </c>
      <c r="BM58" s="51">
        <f t="shared" si="41"/>
        <v>5.0</v>
      </c>
      <c r="BN58" s="39">
        <f>SUM(J58:BK59)*2.5</f>
        <v>10.0</v>
      </c>
      <c r="BO58" s="38">
        <f t="shared" si="43"/>
        <v>40.0</v>
      </c>
      <c r="BP58" s="49">
        <v>90.0</v>
      </c>
      <c r="BQ58" s="41">
        <f t="shared" si="44"/>
        <v>2.0</v>
      </c>
      <c r="BR58" s="39">
        <f t="shared" si="45"/>
        <v>16.0</v>
      </c>
      <c r="BS58" s="42">
        <f t="shared" si="46"/>
        <v>0.111111111111111</v>
      </c>
      <c r="BT58" s="7"/>
    </row>
    <row r="59" ht="14.0">
      <c r="A59" s="46"/>
      <c r="B59" s="43"/>
      <c r="C59" s="100"/>
      <c r="D59" s="71"/>
      <c r="E59" s="45"/>
      <c r="F59" s="69" t="s">
        <v>67</v>
      </c>
      <c r="G59" s="36"/>
      <c r="H59" s="35">
        <v>45.0</v>
      </c>
      <c r="I59" s="38"/>
      <c r="J59" s="38"/>
      <c r="K59" s="38">
        <v>1.0</v>
      </c>
      <c r="L59" s="38"/>
      <c r="M59" s="38"/>
      <c r="N59" s="38">
        <v>1.0</v>
      </c>
      <c r="O59" s="39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9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9"/>
      <c r="BJ59" s="38"/>
      <c r="BK59" s="39"/>
      <c r="BL59" s="38">
        <v>45.0</v>
      </c>
      <c r="BM59" s="51">
        <f t="shared" si="41"/>
        <v>5.0</v>
      </c>
      <c r="BN59" s="39"/>
      <c r="BO59" s="38">
        <f t="shared" si="43"/>
        <v>40.0</v>
      </c>
      <c r="BP59" s="67"/>
      <c r="BQ59" s="41">
        <f t="shared" si="44"/>
        <v>2.0</v>
      </c>
      <c r="BR59" s="39">
        <f t="shared" si="45"/>
        <v>16.0</v>
      </c>
      <c r="BS59" s="42">
        <f t="shared" si="46"/>
        <v>0.111111111111111</v>
      </c>
      <c r="BT59" s="7"/>
    </row>
    <row r="60" ht="14.0">
      <c r="A60" s="58">
        <v>19.0</v>
      </c>
      <c r="B60" s="99" t="s">
        <v>125</v>
      </c>
      <c r="C60" s="101" t="s">
        <v>126</v>
      </c>
      <c r="D60" s="92">
        <v>46049</v>
      </c>
      <c r="E60" s="34">
        <v>46107</v>
      </c>
      <c r="F60" s="70" t="s">
        <v>127</v>
      </c>
      <c r="G60" s="48">
        <v>1.65</v>
      </c>
      <c r="H60" s="38">
        <v>50.0</v>
      </c>
      <c r="I60" s="38" t="s">
        <v>45</v>
      </c>
      <c r="J60" s="38">
        <v>1.0</v>
      </c>
      <c r="K60" s="38"/>
      <c r="L60" s="38"/>
      <c r="M60" s="38">
        <v>1.0</v>
      </c>
      <c r="N60" s="38"/>
      <c r="O60" s="39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9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9"/>
      <c r="BJ60" s="38"/>
      <c r="BK60" s="39"/>
      <c r="BL60" s="55">
        <v>45.0</v>
      </c>
      <c r="BM60" s="38">
        <f t="shared" si="41"/>
        <v>5.0</v>
      </c>
      <c r="BN60" s="39">
        <f>SUM(J60:BK61)*2.5</f>
        <v>10.0</v>
      </c>
      <c r="BO60" s="38">
        <f t="shared" si="43"/>
        <v>40.0</v>
      </c>
      <c r="BP60" s="49">
        <v>90.0</v>
      </c>
      <c r="BQ60" s="41">
        <f t="shared" si="44"/>
        <v>2.0</v>
      </c>
      <c r="BR60" s="39">
        <f t="shared" si="45"/>
        <v>16.0</v>
      </c>
      <c r="BS60" s="42">
        <f t="shared" si="46"/>
        <v>0.111111111111111</v>
      </c>
      <c r="BT60" s="7"/>
    </row>
    <row r="61" ht="14.0">
      <c r="A61" s="41"/>
      <c r="B61" s="99"/>
      <c r="C61" s="101"/>
      <c r="D61" s="67"/>
      <c r="E61" s="56"/>
      <c r="F61" s="73"/>
      <c r="G61" s="55"/>
      <c r="H61" s="38">
        <v>49.0</v>
      </c>
      <c r="I61" s="38"/>
      <c r="J61" s="38">
        <v>1.0</v>
      </c>
      <c r="K61" s="38"/>
      <c r="L61" s="38"/>
      <c r="M61" s="38">
        <v>1.0</v>
      </c>
      <c r="N61" s="38"/>
      <c r="O61" s="39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9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9"/>
      <c r="BJ61" s="38"/>
      <c r="BK61" s="39"/>
      <c r="BL61" s="38">
        <v>45.0</v>
      </c>
      <c r="BM61" s="38">
        <f t="shared" si="41"/>
        <v>5.0</v>
      </c>
      <c r="BN61" s="39"/>
      <c r="BO61" s="38">
        <f t="shared" si="43"/>
        <v>40.0</v>
      </c>
      <c r="BP61" s="67"/>
      <c r="BQ61" s="41">
        <f t="shared" si="44"/>
        <v>2.0</v>
      </c>
      <c r="BR61" s="39">
        <f t="shared" si="45"/>
        <v>16.0</v>
      </c>
      <c r="BS61" s="42">
        <f t="shared" si="46"/>
        <v>0.111111111111111</v>
      </c>
      <c r="BT61" s="7"/>
    </row>
    <row r="62" ht="14.0">
      <c r="A62" s="58">
        <v>20.0</v>
      </c>
      <c r="B62" s="99" t="s">
        <v>128</v>
      </c>
      <c r="C62" s="102" t="s">
        <v>129</v>
      </c>
      <c r="D62" s="92">
        <v>46041</v>
      </c>
      <c r="E62" s="34">
        <v>46104</v>
      </c>
      <c r="F62" s="70" t="s">
        <v>130</v>
      </c>
      <c r="G62" s="48">
        <v>0.55</v>
      </c>
      <c r="H62" s="82">
        <v>33.0</v>
      </c>
      <c r="I62" s="48" t="s">
        <v>106</v>
      </c>
      <c r="J62" s="48">
        <v>1.0</v>
      </c>
      <c r="K62" s="48">
        <v>1.0</v>
      </c>
      <c r="L62" s="38"/>
      <c r="M62" s="38"/>
      <c r="N62" s="38"/>
      <c r="O62" s="39"/>
      <c r="P62" s="38"/>
      <c r="Q62" s="48">
        <v>1.0</v>
      </c>
      <c r="R62" s="38"/>
      <c r="S62" s="38"/>
      <c r="T62" s="38"/>
      <c r="U62" s="48">
        <v>1.0</v>
      </c>
      <c r="V62" s="48">
        <v>1.0</v>
      </c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9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9"/>
      <c r="BJ62" s="38"/>
      <c r="BK62" s="39"/>
      <c r="BL62" s="48">
        <v>45.0</v>
      </c>
      <c r="BM62" s="48">
        <f t="shared" si="41"/>
        <v>12.5</v>
      </c>
      <c r="BN62" s="39">
        <f>SUM(J62:BK63)*2.5</f>
        <v>12.5</v>
      </c>
      <c r="BO62" s="48">
        <f t="shared" si="43"/>
        <v>32.5</v>
      </c>
      <c r="BP62" s="49">
        <v>45.0</v>
      </c>
      <c r="BQ62" s="53">
        <f t="shared" si="44"/>
        <v>5.0</v>
      </c>
      <c r="BR62" s="49">
        <f t="shared" si="45"/>
        <v>13.0</v>
      </c>
      <c r="BS62" s="42">
        <f t="shared" si="46"/>
        <v>0.277777777777778</v>
      </c>
      <c r="BT62" s="7"/>
    </row>
    <row r="63">
      <c r="A63" s="41"/>
      <c r="B63" s="99"/>
      <c r="C63" s="102"/>
      <c r="D63" s="67"/>
      <c r="E63" s="56"/>
      <c r="F63" s="73"/>
      <c r="G63" s="55"/>
      <c r="H63" s="56"/>
      <c r="I63" s="89"/>
      <c r="J63" s="56"/>
      <c r="K63" s="56"/>
      <c r="L63" s="38"/>
      <c r="M63" s="38"/>
      <c r="N63" s="38"/>
      <c r="O63" s="39"/>
      <c r="P63" s="38"/>
      <c r="Q63" s="56"/>
      <c r="R63" s="38"/>
      <c r="S63" s="38"/>
      <c r="T63" s="38"/>
      <c r="U63" s="56"/>
      <c r="V63" s="56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9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9"/>
      <c r="BJ63" s="38"/>
      <c r="BK63" s="39"/>
      <c r="BL63" s="56"/>
      <c r="BM63" s="56"/>
      <c r="BN63" s="39"/>
      <c r="BO63" s="56"/>
      <c r="BP63" s="67"/>
      <c r="BQ63" s="41"/>
      <c r="BR63" s="67"/>
      <c r="BS63" s="42"/>
      <c r="BT63" s="7"/>
    </row>
    <row r="64" ht="14.0">
      <c r="A64" s="58">
        <v>21.0</v>
      </c>
      <c r="B64" s="31" t="s">
        <v>131</v>
      </c>
      <c r="C64" s="102" t="s">
        <v>132</v>
      </c>
      <c r="D64" s="92">
        <v>46050</v>
      </c>
      <c r="E64" s="34">
        <v>46106</v>
      </c>
      <c r="F64" s="70" t="s">
        <v>133</v>
      </c>
      <c r="G64" s="48">
        <v>0.3</v>
      </c>
      <c r="H64" s="103">
        <v>18.0</v>
      </c>
      <c r="I64" s="38" t="s">
        <v>93</v>
      </c>
      <c r="J64" s="38"/>
      <c r="K64" s="38"/>
      <c r="L64" s="48">
        <v>1.0</v>
      </c>
      <c r="M64" s="38"/>
      <c r="N64" s="48">
        <v>1.0</v>
      </c>
      <c r="O64" s="39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9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9"/>
      <c r="BJ64" s="38"/>
      <c r="BK64" s="39"/>
      <c r="BL64" s="48">
        <v>45.0</v>
      </c>
      <c r="BM64" s="48">
        <f>SUM(J64:BK65)*2.5</f>
        <v>5.0</v>
      </c>
      <c r="BN64" s="39">
        <f>SUM(J64:BK65)*2.5</f>
        <v>5.0</v>
      </c>
      <c r="BO64" s="48">
        <f>BL64-BM64</f>
        <v>40.0</v>
      </c>
      <c r="BP64" s="49">
        <v>45.0</v>
      </c>
      <c r="BQ64" s="53">
        <f>BM64/2.5</f>
        <v>2.0</v>
      </c>
      <c r="BR64" s="49">
        <f>BO64/2.5</f>
        <v>16.0</v>
      </c>
      <c r="BS64" s="42">
        <f>BQ64/18</f>
        <v>0.111111111111111</v>
      </c>
      <c r="BT64" s="7"/>
    </row>
    <row r="65">
      <c r="A65" s="41"/>
      <c r="B65" s="31"/>
      <c r="C65" s="102"/>
      <c r="D65" s="67"/>
      <c r="E65" s="56"/>
      <c r="F65" s="73"/>
      <c r="G65" s="55"/>
      <c r="H65" s="98"/>
      <c r="I65" s="38"/>
      <c r="J65" s="38"/>
      <c r="K65" s="38"/>
      <c r="L65" s="56"/>
      <c r="M65" s="38"/>
      <c r="N65" s="56"/>
      <c r="O65" s="39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9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9"/>
      <c r="BJ65" s="38"/>
      <c r="BK65" s="39"/>
      <c r="BL65" s="56"/>
      <c r="BM65" s="56"/>
      <c r="BN65" s="39"/>
      <c r="BO65" s="56"/>
      <c r="BP65" s="67"/>
      <c r="BQ65" s="41"/>
      <c r="BR65" s="67"/>
      <c r="BS65" s="42"/>
      <c r="BT65" s="7"/>
    </row>
    <row r="66" ht="17.0">
      <c r="A66" s="58">
        <v>22.0</v>
      </c>
      <c r="B66" s="31" t="s">
        <v>134</v>
      </c>
      <c r="C66" s="102" t="s">
        <v>135</v>
      </c>
      <c r="D66" s="92">
        <v>46042</v>
      </c>
      <c r="E66" s="34">
        <v>46099</v>
      </c>
      <c r="F66" s="69" t="s">
        <v>136</v>
      </c>
      <c r="G66" s="48">
        <v>2.6</v>
      </c>
      <c r="H66" s="104">
        <v>80.0</v>
      </c>
      <c r="I66" s="38" t="s">
        <v>137</v>
      </c>
      <c r="J66" s="38"/>
      <c r="K66" s="38">
        <v>1.0</v>
      </c>
      <c r="L66" s="38"/>
      <c r="M66" s="38">
        <v>1.0</v>
      </c>
      <c r="N66" s="38"/>
      <c r="O66" s="39"/>
      <c r="P66" s="38"/>
      <c r="Q66" s="38">
        <v>1.0</v>
      </c>
      <c r="R66" s="38"/>
      <c r="S66" s="38">
        <v>1.0</v>
      </c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9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9"/>
      <c r="BJ66" s="38"/>
      <c r="BK66" s="39"/>
      <c r="BL66" s="38">
        <v>45.0</v>
      </c>
      <c r="BM66" s="38">
        <f t="shared" ref="BM66:BM69" si="56">SUM(J66:BK66)*2.5</f>
        <v>10.0</v>
      </c>
      <c r="BN66" s="39">
        <f>SUM(J66:BK67)*2.5</f>
        <v>20.0</v>
      </c>
      <c r="BO66" s="38">
        <f t="shared" ref="BO66:BO70" si="58">BL66-BM66</f>
        <v>35.0</v>
      </c>
      <c r="BP66" s="49">
        <v>90.0</v>
      </c>
      <c r="BQ66" s="41">
        <f t="shared" ref="BQ66:BQ70" si="59">BM66/2.5</f>
        <v>4.0</v>
      </c>
      <c r="BR66" s="39">
        <f t="shared" ref="BR66:BR70" si="60">BO66/2.5</f>
        <v>14.0</v>
      </c>
      <c r="BS66" s="42">
        <f t="shared" ref="BS66:BS70" si="61">BQ66/18</f>
        <v>0.222222222222222</v>
      </c>
      <c r="BT66" s="7"/>
    </row>
    <row r="67" ht="17.0">
      <c r="A67" s="41"/>
      <c r="B67" s="31"/>
      <c r="C67" s="102"/>
      <c r="D67" s="67"/>
      <c r="E67" s="56"/>
      <c r="F67" s="69" t="s">
        <v>138</v>
      </c>
      <c r="G67" s="55"/>
      <c r="H67" s="104">
        <v>80.0</v>
      </c>
      <c r="I67" s="38"/>
      <c r="J67" s="38"/>
      <c r="K67" s="38">
        <v>1.0</v>
      </c>
      <c r="L67" s="38">
        <v>1.0</v>
      </c>
      <c r="M67" s="38"/>
      <c r="N67" s="38"/>
      <c r="O67" s="39"/>
      <c r="P67" s="38"/>
      <c r="Q67" s="38">
        <v>1.0</v>
      </c>
      <c r="R67" s="38">
        <v>1.0</v>
      </c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9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9"/>
      <c r="BJ67" s="38"/>
      <c r="BK67" s="39"/>
      <c r="BL67" s="38">
        <v>45.0</v>
      </c>
      <c r="BM67" s="38">
        <f t="shared" si="56"/>
        <v>10.0</v>
      </c>
      <c r="BN67" s="39"/>
      <c r="BO67" s="38">
        <f t="shared" si="58"/>
        <v>35.0</v>
      </c>
      <c r="BP67" s="67"/>
      <c r="BQ67" s="41">
        <f t="shared" si="59"/>
        <v>4.0</v>
      </c>
      <c r="BR67" s="39">
        <f t="shared" si="60"/>
        <v>14.0</v>
      </c>
      <c r="BS67" s="42">
        <f t="shared" si="61"/>
        <v>0.222222222222222</v>
      </c>
      <c r="BT67" s="7"/>
    </row>
    <row r="68" ht="17.0">
      <c r="A68" s="58">
        <v>23.0</v>
      </c>
      <c r="B68" s="31" t="s">
        <v>139</v>
      </c>
      <c r="C68" s="105" t="s">
        <v>140</v>
      </c>
      <c r="D68" s="92">
        <v>46044</v>
      </c>
      <c r="E68" s="34">
        <v>46093</v>
      </c>
      <c r="F68" s="69" t="s">
        <v>136</v>
      </c>
      <c r="G68" s="48">
        <v>3.66</v>
      </c>
      <c r="H68" s="104">
        <v>113.0</v>
      </c>
      <c r="I68" s="38" t="s">
        <v>44</v>
      </c>
      <c r="J68" s="38"/>
      <c r="K68" s="38"/>
      <c r="L68" s="38"/>
      <c r="M68" s="38">
        <v>1.0</v>
      </c>
      <c r="N68" s="38">
        <v>1.0</v>
      </c>
      <c r="O68" s="39"/>
      <c r="P68" s="38"/>
      <c r="Q68" s="38"/>
      <c r="R68" s="38"/>
      <c r="S68" s="38">
        <v>1.0</v>
      </c>
      <c r="T68" s="38">
        <v>1.0</v>
      </c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9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9"/>
      <c r="BJ68" s="38"/>
      <c r="BK68" s="39"/>
      <c r="BL68" s="38">
        <v>45.0</v>
      </c>
      <c r="BM68" s="38">
        <f t="shared" si="56"/>
        <v>10.0</v>
      </c>
      <c r="BN68" s="39">
        <f>SUM(J68:BK69)*2.5</f>
        <v>20.0</v>
      </c>
      <c r="BO68" s="38">
        <f t="shared" si="58"/>
        <v>35.0</v>
      </c>
      <c r="BP68" s="49">
        <v>90.0</v>
      </c>
      <c r="BQ68" s="41">
        <f t="shared" si="59"/>
        <v>4.0</v>
      </c>
      <c r="BR68" s="39">
        <f t="shared" si="60"/>
        <v>14.0</v>
      </c>
      <c r="BS68" s="42">
        <f t="shared" si="61"/>
        <v>0.222222222222222</v>
      </c>
      <c r="BT68" s="7"/>
    </row>
    <row r="69" ht="14.0">
      <c r="A69" s="41"/>
      <c r="B69" s="31"/>
      <c r="C69" s="106"/>
      <c r="D69" s="67"/>
      <c r="E69" s="56"/>
      <c r="F69" s="107" t="s">
        <v>141</v>
      </c>
      <c r="G69" s="55"/>
      <c r="H69" s="60">
        <v>113.0</v>
      </c>
      <c r="I69" s="38" t="s">
        <v>59</v>
      </c>
      <c r="J69" s="38"/>
      <c r="K69" s="38"/>
      <c r="L69" s="38"/>
      <c r="M69" s="38">
        <v>1.0</v>
      </c>
      <c r="N69" s="38">
        <v>1.0</v>
      </c>
      <c r="O69" s="39"/>
      <c r="P69" s="38"/>
      <c r="Q69" s="38"/>
      <c r="R69" s="38"/>
      <c r="S69" s="38">
        <v>1.0</v>
      </c>
      <c r="T69" s="38">
        <v>1.0</v>
      </c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9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9"/>
      <c r="BJ69" s="38"/>
      <c r="BK69" s="39"/>
      <c r="BL69" s="38">
        <v>45.0</v>
      </c>
      <c r="BM69" s="38">
        <f t="shared" si="56"/>
        <v>10.0</v>
      </c>
      <c r="BN69" s="39"/>
      <c r="BO69" s="38">
        <f t="shared" si="58"/>
        <v>35.0</v>
      </c>
      <c r="BP69" s="67"/>
      <c r="BQ69" s="41">
        <f t="shared" si="59"/>
        <v>4.0</v>
      </c>
      <c r="BR69" s="39">
        <f t="shared" si="60"/>
        <v>14.0</v>
      </c>
      <c r="BS69" s="42">
        <f t="shared" si="61"/>
        <v>0.222222222222222</v>
      </c>
      <c r="BT69" s="7"/>
    </row>
    <row r="70" ht="14.0">
      <c r="A70" s="58">
        <v>24.0</v>
      </c>
      <c r="B70" s="31" t="s">
        <v>142</v>
      </c>
      <c r="C70" s="102" t="s">
        <v>143</v>
      </c>
      <c r="D70" s="92">
        <v>46058</v>
      </c>
      <c r="E70" s="34">
        <v>46108</v>
      </c>
      <c r="F70" s="70" t="s">
        <v>144</v>
      </c>
      <c r="G70" s="48">
        <v>0.43</v>
      </c>
      <c r="H70" s="82">
        <v>26.0</v>
      </c>
      <c r="I70" s="38" t="s">
        <v>50</v>
      </c>
      <c r="J70" s="38"/>
      <c r="K70" s="38"/>
      <c r="L70" s="38"/>
      <c r="M70" s="38"/>
      <c r="N70" s="38"/>
      <c r="O70" s="39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9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9"/>
      <c r="BJ70" s="38"/>
      <c r="BK70" s="39"/>
      <c r="BL70" s="48">
        <v>45.0</v>
      </c>
      <c r="BM70" s="48">
        <f>SUM(J70:BK71)*2.5</f>
        <v>0.0</v>
      </c>
      <c r="BN70" s="39">
        <f>SUM(J70:BK71)*2.5</f>
        <v>0.0</v>
      </c>
      <c r="BO70" s="48">
        <f t="shared" si="58"/>
        <v>45.0</v>
      </c>
      <c r="BP70" s="49">
        <v>45.0</v>
      </c>
      <c r="BQ70" s="53">
        <f t="shared" si="59"/>
        <v>0.0</v>
      </c>
      <c r="BR70" s="49">
        <f t="shared" si="60"/>
        <v>18.0</v>
      </c>
      <c r="BS70" s="42">
        <f t="shared" si="61"/>
        <v>0.0</v>
      </c>
      <c r="BT70" s="7"/>
    </row>
    <row r="71">
      <c r="A71" s="41"/>
      <c r="B71" s="31"/>
      <c r="C71" s="102"/>
      <c r="D71" s="67"/>
      <c r="E71" s="56"/>
      <c r="F71" s="73"/>
      <c r="G71" s="55"/>
      <c r="H71" s="56"/>
      <c r="I71" s="38"/>
      <c r="J71" s="38"/>
      <c r="K71" s="38"/>
      <c r="L71" s="38"/>
      <c r="M71" s="38"/>
      <c r="N71" s="38"/>
      <c r="O71" s="39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9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9"/>
      <c r="BJ71" s="38"/>
      <c r="BK71" s="39"/>
      <c r="BL71" s="56"/>
      <c r="BM71" s="56"/>
      <c r="BN71" s="39"/>
      <c r="BO71" s="56"/>
      <c r="BP71" s="67"/>
      <c r="BQ71" s="41"/>
      <c r="BR71" s="67"/>
      <c r="BS71" s="42"/>
      <c r="BT71" s="7"/>
    </row>
    <row r="72" ht="14.0">
      <c r="A72" s="58">
        <v>25.0</v>
      </c>
      <c r="B72" s="31" t="s">
        <v>145</v>
      </c>
      <c r="C72" s="102" t="s">
        <v>146</v>
      </c>
      <c r="D72" s="92">
        <v>46041</v>
      </c>
      <c r="E72" s="34">
        <v>45742</v>
      </c>
      <c r="F72" s="108" t="s">
        <v>70</v>
      </c>
      <c r="G72" s="48">
        <v>2.33</v>
      </c>
      <c r="H72" s="60">
        <v>70.0</v>
      </c>
      <c r="I72" s="48" t="s">
        <v>71</v>
      </c>
      <c r="J72" s="48">
        <v>1.0</v>
      </c>
      <c r="K72" s="48"/>
      <c r="L72" s="48"/>
      <c r="M72" s="48"/>
      <c r="N72" s="48"/>
      <c r="O72" s="49"/>
      <c r="P72" s="38"/>
      <c r="Q72" s="38"/>
      <c r="R72" s="38"/>
      <c r="S72" s="38">
        <v>1.0</v>
      </c>
      <c r="T72" s="38">
        <v>1.0</v>
      </c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9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9"/>
      <c r="BJ72" s="38"/>
      <c r="BK72" s="39"/>
      <c r="BL72" s="38">
        <v>45.0</v>
      </c>
      <c r="BM72" s="38">
        <f t="shared" ref="BM72:BM76" si="65">SUM(J72:BK72)*2.5</f>
        <v>7.5</v>
      </c>
      <c r="BN72" s="39">
        <f>SUM(J72:BK73)*2.5</f>
        <v>15.0</v>
      </c>
      <c r="BO72" s="38">
        <f t="shared" ref="BO72:BO76" si="67">BL72-BM72</f>
        <v>37.5</v>
      </c>
      <c r="BP72" s="49">
        <f>SUM(BL72:BL73)</f>
        <v>90.0</v>
      </c>
      <c r="BQ72" s="41">
        <f t="shared" ref="BQ72:BQ76" si="69">BM72/2.5</f>
        <v>3.0</v>
      </c>
      <c r="BR72" s="39">
        <f t="shared" ref="BR72:BR76" si="70">BO72/2.5</f>
        <v>15.0</v>
      </c>
      <c r="BS72" s="42">
        <f t="shared" ref="BS72:BS76" si="71">BQ72/18</f>
        <v>0.166666666666667</v>
      </c>
      <c r="BT72" s="7"/>
    </row>
    <row r="73" ht="14.0">
      <c r="A73" s="41"/>
      <c r="B73" s="31"/>
      <c r="C73" s="102"/>
      <c r="D73" s="67"/>
      <c r="E73" s="56"/>
      <c r="F73" s="108" t="s">
        <v>147</v>
      </c>
      <c r="G73" s="55"/>
      <c r="H73" s="60">
        <v>70.0</v>
      </c>
      <c r="I73" s="38"/>
      <c r="J73" s="38">
        <v>1.0</v>
      </c>
      <c r="K73" s="38"/>
      <c r="L73" s="38"/>
      <c r="M73" s="38"/>
      <c r="N73" s="38"/>
      <c r="O73" s="39"/>
      <c r="P73" s="38"/>
      <c r="Q73" s="38"/>
      <c r="R73" s="38"/>
      <c r="S73" s="38">
        <v>1.0</v>
      </c>
      <c r="T73" s="38">
        <v>1.0</v>
      </c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9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9"/>
      <c r="BJ73" s="38"/>
      <c r="BK73" s="39"/>
      <c r="BL73" s="38">
        <v>45.0</v>
      </c>
      <c r="BM73" s="38">
        <f t="shared" si="65"/>
        <v>7.5</v>
      </c>
      <c r="BN73" s="39"/>
      <c r="BO73" s="38">
        <f t="shared" si="67"/>
        <v>37.5</v>
      </c>
      <c r="BP73" s="67"/>
      <c r="BQ73" s="41">
        <f t="shared" si="69"/>
        <v>3.0</v>
      </c>
      <c r="BR73" s="39">
        <f t="shared" si="70"/>
        <v>15.0</v>
      </c>
      <c r="BS73" s="42">
        <f t="shared" si="71"/>
        <v>0.166666666666667</v>
      </c>
      <c r="BT73" s="7"/>
    </row>
    <row r="74" ht="14.0">
      <c r="A74" s="58">
        <v>26.0</v>
      </c>
      <c r="B74" s="31" t="s">
        <v>148</v>
      </c>
      <c r="C74" s="102" t="s">
        <v>149</v>
      </c>
      <c r="D74" s="92">
        <v>46041</v>
      </c>
      <c r="E74" s="34">
        <v>46104</v>
      </c>
      <c r="F74" s="69" t="s">
        <v>150</v>
      </c>
      <c r="G74" s="48">
        <v>1.65</v>
      </c>
      <c r="H74" s="60">
        <v>50.0</v>
      </c>
      <c r="I74" s="38" t="s">
        <v>151</v>
      </c>
      <c r="J74" s="38">
        <v>1.0</v>
      </c>
      <c r="K74" s="38">
        <v>1.0</v>
      </c>
      <c r="L74" s="38"/>
      <c r="M74" s="38"/>
      <c r="N74" s="38"/>
      <c r="O74" s="39"/>
      <c r="P74" s="38"/>
      <c r="Q74" s="38">
        <v>1.0</v>
      </c>
      <c r="R74" s="38"/>
      <c r="S74" s="38"/>
      <c r="T74" s="38"/>
      <c r="U74" s="38"/>
      <c r="V74" s="38">
        <v>1.0</v>
      </c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9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9"/>
      <c r="BJ74" s="38"/>
      <c r="BK74" s="39"/>
      <c r="BL74" s="38">
        <v>45.0</v>
      </c>
      <c r="BM74" s="38">
        <f t="shared" si="65"/>
        <v>10.0</v>
      </c>
      <c r="BN74" s="39">
        <f>SUM(J74:BK75)*2.5</f>
        <v>20.0</v>
      </c>
      <c r="BO74" s="38">
        <f t="shared" si="67"/>
        <v>35.0</v>
      </c>
      <c r="BP74" s="49">
        <f>SUM(BL74:BL75)</f>
        <v>90.0</v>
      </c>
      <c r="BQ74" s="41">
        <f t="shared" si="69"/>
        <v>4.0</v>
      </c>
      <c r="BR74" s="39">
        <f t="shared" si="70"/>
        <v>14.0</v>
      </c>
      <c r="BS74" s="42">
        <f t="shared" si="71"/>
        <v>0.222222222222222</v>
      </c>
      <c r="BT74" s="7"/>
    </row>
    <row r="75">
      <c r="A75" s="41"/>
      <c r="B75" s="31"/>
      <c r="C75" s="102"/>
      <c r="D75" s="109"/>
      <c r="E75" s="56"/>
      <c r="F75" s="69" t="s">
        <v>152</v>
      </c>
      <c r="G75" s="55"/>
      <c r="H75" s="60">
        <v>49.0</v>
      </c>
      <c r="I75" s="38"/>
      <c r="J75" s="38">
        <v>1.0</v>
      </c>
      <c r="K75" s="38">
        <v>1.0</v>
      </c>
      <c r="L75" s="38"/>
      <c r="M75" s="38"/>
      <c r="N75" s="38"/>
      <c r="O75" s="39"/>
      <c r="P75" s="38"/>
      <c r="Q75" s="38">
        <v>1.0</v>
      </c>
      <c r="R75" s="38"/>
      <c r="S75" s="38"/>
      <c r="T75" s="38"/>
      <c r="U75" s="38"/>
      <c r="V75" s="38">
        <v>1.0</v>
      </c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9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9"/>
      <c r="BJ75" s="38"/>
      <c r="BK75" s="39"/>
      <c r="BL75" s="38">
        <v>45.0</v>
      </c>
      <c r="BM75" s="38">
        <f t="shared" si="65"/>
        <v>10.0</v>
      </c>
      <c r="BN75" s="39"/>
      <c r="BO75" s="38">
        <f t="shared" si="67"/>
        <v>35.0</v>
      </c>
      <c r="BP75" s="67"/>
      <c r="BQ75" s="41">
        <f t="shared" si="69"/>
        <v>4.0</v>
      </c>
      <c r="BR75" s="39">
        <f t="shared" si="70"/>
        <v>14.0</v>
      </c>
      <c r="BS75" s="42">
        <f t="shared" si="71"/>
        <v>0.222222222222222</v>
      </c>
      <c r="BT75" s="7"/>
    </row>
    <row r="76" ht="14.0">
      <c r="A76" s="58">
        <v>27.0</v>
      </c>
      <c r="B76" s="110" t="s">
        <v>153</v>
      </c>
      <c r="C76" s="102" t="s">
        <v>154</v>
      </c>
      <c r="D76" s="92">
        <v>46041</v>
      </c>
      <c r="E76" s="34">
        <v>46100</v>
      </c>
      <c r="F76" s="111" t="s">
        <v>155</v>
      </c>
      <c r="G76" s="48">
        <v>0.83</v>
      </c>
      <c r="H76" s="48">
        <v>50.0</v>
      </c>
      <c r="I76" s="48" t="s">
        <v>51</v>
      </c>
      <c r="J76" s="48">
        <v>1.0</v>
      </c>
      <c r="K76" s="38"/>
      <c r="L76" s="38"/>
      <c r="M76" s="48">
        <v>1.0</v>
      </c>
      <c r="N76" s="38"/>
      <c r="O76" s="39"/>
      <c r="P76" s="38"/>
      <c r="Q76" s="38"/>
      <c r="R76" s="38"/>
      <c r="S76" s="38"/>
      <c r="T76" s="48">
        <v>1.0</v>
      </c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9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9"/>
      <c r="BJ76" s="38"/>
      <c r="BK76" s="39"/>
      <c r="BL76" s="48">
        <v>45.0</v>
      </c>
      <c r="BM76" s="48">
        <f t="shared" si="65"/>
        <v>7.5</v>
      </c>
      <c r="BN76" s="39">
        <f>SUM(J76:BK77)*2.5</f>
        <v>7.5</v>
      </c>
      <c r="BO76" s="48">
        <f t="shared" si="67"/>
        <v>37.5</v>
      </c>
      <c r="BP76" s="49">
        <f>SUM(BL76)</f>
        <v>45.0</v>
      </c>
      <c r="BQ76" s="53">
        <f t="shared" si="69"/>
        <v>3.0</v>
      </c>
      <c r="BR76" s="49">
        <f t="shared" si="70"/>
        <v>15.0</v>
      </c>
      <c r="BS76" s="42">
        <f t="shared" si="71"/>
        <v>0.166666666666667</v>
      </c>
      <c r="BT76" s="7"/>
    </row>
    <row r="77">
      <c r="A77" s="41"/>
      <c r="B77" s="43"/>
      <c r="C77" s="102"/>
      <c r="D77" s="109"/>
      <c r="E77" s="56"/>
      <c r="F77" s="73"/>
      <c r="G77" s="55"/>
      <c r="H77" s="98"/>
      <c r="I77" s="89"/>
      <c r="J77" s="56"/>
      <c r="K77" s="38"/>
      <c r="L77" s="38"/>
      <c r="M77" s="56"/>
      <c r="N77" s="38"/>
      <c r="O77" s="39"/>
      <c r="P77" s="38"/>
      <c r="Q77" s="38"/>
      <c r="R77" s="38"/>
      <c r="S77" s="38"/>
      <c r="T77" s="56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9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9"/>
      <c r="BJ77" s="38"/>
      <c r="BK77" s="39"/>
      <c r="BL77" s="56"/>
      <c r="BM77" s="56"/>
      <c r="BN77" s="39"/>
      <c r="BO77" s="56"/>
      <c r="BP77" s="67"/>
      <c r="BQ77" s="41"/>
      <c r="BR77" s="67"/>
      <c r="BS77" s="42"/>
      <c r="BT77" s="7"/>
    </row>
    <row r="78" ht="14.0">
      <c r="A78" s="58">
        <v>28.0</v>
      </c>
      <c r="B78" s="31" t="s">
        <v>156</v>
      </c>
      <c r="C78" s="102" t="s">
        <v>157</v>
      </c>
      <c r="D78" s="92">
        <v>46041</v>
      </c>
      <c r="E78" s="34">
        <v>46104</v>
      </c>
      <c r="F78" s="111" t="s">
        <v>136</v>
      </c>
      <c r="G78" s="48">
        <v>0.78</v>
      </c>
      <c r="H78" s="48">
        <v>47.0</v>
      </c>
      <c r="I78" s="48" t="s">
        <v>51</v>
      </c>
      <c r="J78" s="48">
        <v>1.0</v>
      </c>
      <c r="K78" s="38"/>
      <c r="L78" s="38"/>
      <c r="M78" s="48">
        <v>1.0</v>
      </c>
      <c r="N78" s="38"/>
      <c r="O78" s="39"/>
      <c r="P78" s="38"/>
      <c r="Q78" s="38"/>
      <c r="R78" s="38"/>
      <c r="S78" s="48">
        <v>1.0</v>
      </c>
      <c r="T78" s="38"/>
      <c r="U78" s="38"/>
      <c r="V78" s="48">
        <v>1.0</v>
      </c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9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9"/>
      <c r="BJ78" s="38"/>
      <c r="BK78" s="39"/>
      <c r="BL78" s="48">
        <v>45.0</v>
      </c>
      <c r="BM78" s="48">
        <f>SUM(J78:BK78)*2.5</f>
        <v>10.0</v>
      </c>
      <c r="BN78" s="39">
        <f>SUM(J78:BK79)*2.5</f>
        <v>10.0</v>
      </c>
      <c r="BO78" s="48">
        <f>BL78-BM78</f>
        <v>35.0</v>
      </c>
      <c r="BP78" s="49">
        <f>SUM(BL78)</f>
        <v>45.0</v>
      </c>
      <c r="BQ78" s="53">
        <f>BM78/2.5</f>
        <v>4.0</v>
      </c>
      <c r="BR78" s="49">
        <f>BO78/2.5</f>
        <v>14.0</v>
      </c>
      <c r="BS78" s="42">
        <f>BQ78/18</f>
        <v>0.222222222222222</v>
      </c>
      <c r="BT78" s="7"/>
    </row>
    <row r="79">
      <c r="A79" s="53"/>
      <c r="B79" s="112"/>
      <c r="C79" s="105"/>
      <c r="D79" s="113"/>
      <c r="E79" s="45"/>
      <c r="F79" s="114"/>
      <c r="G79" s="36"/>
      <c r="H79" s="96"/>
      <c r="I79" s="89"/>
      <c r="J79" s="56"/>
      <c r="K79" s="38"/>
      <c r="L79" s="38"/>
      <c r="M79" s="56"/>
      <c r="N79" s="38"/>
      <c r="O79" s="39"/>
      <c r="P79" s="38"/>
      <c r="Q79" s="38"/>
      <c r="R79" s="38"/>
      <c r="S79" s="56"/>
      <c r="T79" s="38"/>
      <c r="U79" s="38"/>
      <c r="V79" s="56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9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9"/>
      <c r="BJ79" s="38"/>
      <c r="BK79" s="39"/>
      <c r="BL79" s="56"/>
      <c r="BM79" s="56"/>
      <c r="BN79" s="39"/>
      <c r="BO79" s="56"/>
      <c r="BP79" s="67"/>
      <c r="BQ79" s="41"/>
      <c r="BR79" s="67"/>
      <c r="BS79" s="42"/>
      <c r="BT79" s="7"/>
    </row>
    <row r="80" ht="14.0">
      <c r="A80" s="58">
        <v>29.0</v>
      </c>
      <c r="B80" s="112" t="s">
        <v>158</v>
      </c>
      <c r="C80" s="105" t="s">
        <v>159</v>
      </c>
      <c r="D80" s="92">
        <v>46044</v>
      </c>
      <c r="E80" s="115">
        <v>46101</v>
      </c>
      <c r="F80" s="116" t="s">
        <v>160</v>
      </c>
      <c r="G80" s="51">
        <v>3.88</v>
      </c>
      <c r="H80" s="35">
        <v>78.0</v>
      </c>
      <c r="I80" s="35" t="s">
        <v>161</v>
      </c>
      <c r="J80" s="35"/>
      <c r="K80" s="38"/>
      <c r="L80" s="38"/>
      <c r="M80" s="38">
        <v>1.0</v>
      </c>
      <c r="N80" s="38">
        <v>1.0</v>
      </c>
      <c r="O80" s="39"/>
      <c r="P80" s="38"/>
      <c r="Q80" s="38"/>
      <c r="R80" s="38"/>
      <c r="S80" s="38">
        <v>1.0</v>
      </c>
      <c r="T80" s="38">
        <v>1.0</v>
      </c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9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9"/>
      <c r="BJ80" s="38"/>
      <c r="BK80" s="39"/>
      <c r="BL80" s="38">
        <v>45.0</v>
      </c>
      <c r="BM80" s="38">
        <f t="shared" ref="BM80:BM82" si="83">SUM(J80:BK80)*2.5</f>
        <v>10.0</v>
      </c>
      <c r="BN80" s="49">
        <f>SUM(J80:BK82)*2.5</f>
        <v>30.0</v>
      </c>
      <c r="BO80" s="38">
        <f t="shared" ref="BO80:BO82" si="85">BL80-BM80</f>
        <v>35.0</v>
      </c>
      <c r="BP80" s="49">
        <f>SUM(BL80:BL82)</f>
        <v>135.0</v>
      </c>
      <c r="BQ80" s="41">
        <f t="shared" ref="BQ80:BQ82" si="87">BM80/2.5</f>
        <v>4.0</v>
      </c>
      <c r="BR80" s="39">
        <f t="shared" ref="BR80:BR82" si="88">BO80/2.5</f>
        <v>14.0</v>
      </c>
      <c r="BS80" s="42">
        <f t="shared" ref="BS80:BS82" si="89">BQ80/18</f>
        <v>0.222222222222222</v>
      </c>
      <c r="BT80" s="7"/>
    </row>
    <row r="81" ht="14.0">
      <c r="A81" s="71"/>
      <c r="B81" s="45"/>
      <c r="C81" s="117"/>
      <c r="D81" s="71"/>
      <c r="E81" s="71"/>
      <c r="F81" s="116" t="s">
        <v>162</v>
      </c>
      <c r="G81" s="93"/>
      <c r="H81" s="35">
        <v>78.0</v>
      </c>
      <c r="I81" s="35" t="s">
        <v>163</v>
      </c>
      <c r="J81" s="35"/>
      <c r="K81" s="38"/>
      <c r="L81" s="38"/>
      <c r="M81" s="38">
        <v>1.0</v>
      </c>
      <c r="N81" s="38">
        <v>1.0</v>
      </c>
      <c r="O81" s="39"/>
      <c r="P81" s="38"/>
      <c r="Q81" s="38"/>
      <c r="R81" s="38"/>
      <c r="S81" s="38">
        <v>1.0</v>
      </c>
      <c r="T81" s="38">
        <v>1.0</v>
      </c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9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9"/>
      <c r="BJ81" s="38"/>
      <c r="BK81" s="39"/>
      <c r="BL81" s="38">
        <v>45.0</v>
      </c>
      <c r="BM81" s="48">
        <f t="shared" si="83"/>
        <v>10.0</v>
      </c>
      <c r="BN81" s="71"/>
      <c r="BO81" s="38">
        <f t="shared" si="85"/>
        <v>35.0</v>
      </c>
      <c r="BP81" s="71"/>
      <c r="BQ81" s="41">
        <f t="shared" si="87"/>
        <v>4.0</v>
      </c>
      <c r="BR81" s="39">
        <f t="shared" si="88"/>
        <v>14.0</v>
      </c>
      <c r="BS81" s="42">
        <f t="shared" si="89"/>
        <v>0.222222222222222</v>
      </c>
      <c r="BT81" s="7"/>
    </row>
    <row r="82" ht="14.0">
      <c r="A82" s="67"/>
      <c r="B82" s="56"/>
      <c r="C82" s="118"/>
      <c r="D82" s="67"/>
      <c r="E82" s="67"/>
      <c r="F82" s="116" t="s">
        <v>164</v>
      </c>
      <c r="G82" s="57"/>
      <c r="H82" s="51">
        <v>77.0</v>
      </c>
      <c r="I82" s="35" t="s">
        <v>165</v>
      </c>
      <c r="J82" s="35"/>
      <c r="K82" s="38"/>
      <c r="L82" s="38"/>
      <c r="M82" s="38">
        <v>1.0</v>
      </c>
      <c r="N82" s="38">
        <v>1.0</v>
      </c>
      <c r="O82" s="39"/>
      <c r="P82" s="38"/>
      <c r="Q82" s="38"/>
      <c r="R82" s="38"/>
      <c r="S82" s="38">
        <v>1.0</v>
      </c>
      <c r="T82" s="38">
        <v>1.0</v>
      </c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9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9"/>
      <c r="BJ82" s="38"/>
      <c r="BK82" s="39"/>
      <c r="BL82" s="49">
        <v>45.0</v>
      </c>
      <c r="BM82" s="38">
        <f t="shared" si="83"/>
        <v>10.0</v>
      </c>
      <c r="BN82" s="7"/>
      <c r="BO82" s="38">
        <f t="shared" si="85"/>
        <v>35.0</v>
      </c>
      <c r="BP82" s="67"/>
      <c r="BQ82" s="53">
        <f t="shared" si="87"/>
        <v>4.0</v>
      </c>
      <c r="BR82" s="49">
        <f t="shared" si="88"/>
        <v>14.0</v>
      </c>
      <c r="BS82" s="42">
        <f t="shared" si="89"/>
        <v>0.222222222222222</v>
      </c>
      <c r="BT82" s="7"/>
    </row>
    <row r="83">
      <c r="A83" s="119"/>
      <c r="B83" s="120"/>
      <c r="C83" s="121"/>
      <c r="D83" s="122"/>
      <c r="E83" s="121"/>
      <c r="F83" s="121"/>
      <c r="G83" s="123"/>
      <c r="H83" s="124">
        <f>SUM(H6:H82)</f>
        <v>4208.0</v>
      </c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BK83" s="125"/>
      <c r="BL83" s="126">
        <f>SUM(BL6:BL82)</f>
        <v>2970.0</v>
      </c>
      <c r="BM83" s="126">
        <f>SUM(BM6:BM82)</f>
        <v>725.0</v>
      </c>
      <c r="BN83" s="127">
        <f>SUM(BN6:BN82)</f>
        <v>725.0</v>
      </c>
      <c r="BO83" s="126">
        <f>SUM(BO6:BO82)</f>
        <v>2245.0</v>
      </c>
      <c r="BP83" s="127">
        <f>SUM(BP6:BP82)</f>
        <v>2970.0</v>
      </c>
      <c r="BQ83" s="127">
        <f>SUM(BQ6:BQ82)</f>
        <v>290.0</v>
      </c>
      <c r="BR83" s="127">
        <f>SUM(BR6:BR82)</f>
        <v>898.0</v>
      </c>
      <c r="BS83" s="127"/>
    </row>
    <row r="84">
      <c r="A84" s="7"/>
      <c r="C84" s="7"/>
      <c r="E84" s="7"/>
      <c r="F84" s="7"/>
      <c r="G84" s="7"/>
      <c r="H84" s="7"/>
      <c r="BL84" s="7"/>
      <c r="BM84" s="7"/>
      <c r="BN84" s="7"/>
      <c r="BQ84" s="7"/>
      <c r="BR84" s="7"/>
    </row>
    <row r="105">
      <c r="BO105">
        <f>29*18</f>
        <v>522.0</v>
      </c>
    </row>
  </sheetData>
  <mergeCells count="365">
    <mergeCell ref="B37:B38"/>
    <mergeCell ref="C66:C67"/>
    <mergeCell ref="C68:C69"/>
    <mergeCell ref="C74:C75"/>
    <mergeCell ref="C76:C77"/>
    <mergeCell ref="C72:C73"/>
    <mergeCell ref="C70:C71"/>
    <mergeCell ref="B58:B59"/>
    <mergeCell ref="B62:B63"/>
    <mergeCell ref="B60:B61"/>
    <mergeCell ref="B64:B65"/>
    <mergeCell ref="B56:B57"/>
    <mergeCell ref="B51:B55"/>
    <mergeCell ref="B47:B50"/>
    <mergeCell ref="B43:B46"/>
    <mergeCell ref="B39:B40"/>
    <mergeCell ref="B41:B42"/>
    <mergeCell ref="C78:C79"/>
    <mergeCell ref="C80:C82"/>
    <mergeCell ref="A6:A12"/>
    <mergeCell ref="A1:A4"/>
    <mergeCell ref="A13:A14"/>
    <mergeCell ref="A15:A17"/>
    <mergeCell ref="A18:A20"/>
    <mergeCell ref="A21:A22"/>
    <mergeCell ref="A23:A24"/>
    <mergeCell ref="A28:A32"/>
    <mergeCell ref="B33:B36"/>
    <mergeCell ref="A25:A26"/>
    <mergeCell ref="A51:A55"/>
    <mergeCell ref="B25:B26"/>
    <mergeCell ref="A41:A42"/>
    <mergeCell ref="A39:A40"/>
    <mergeCell ref="B28:B32"/>
    <mergeCell ref="A33:A36"/>
    <mergeCell ref="A37:A38"/>
    <mergeCell ref="A43:A46"/>
    <mergeCell ref="A47:A50"/>
    <mergeCell ref="A56:A57"/>
    <mergeCell ref="A60:A61"/>
    <mergeCell ref="A58:A59"/>
    <mergeCell ref="B18:B20"/>
    <mergeCell ref="B13:B14"/>
    <mergeCell ref="B15:B17"/>
    <mergeCell ref="B6:B12"/>
    <mergeCell ref="B23:B24"/>
    <mergeCell ref="B21:B22"/>
    <mergeCell ref="A62:A63"/>
    <mergeCell ref="D72:D73"/>
    <mergeCell ref="D74:D75"/>
    <mergeCell ref="D80:D82"/>
    <mergeCell ref="D78:D79"/>
    <mergeCell ref="D76:D77"/>
    <mergeCell ref="D70:D71"/>
    <mergeCell ref="D68:D69"/>
    <mergeCell ref="A64:A65"/>
    <mergeCell ref="D66:D67"/>
    <mergeCell ref="D43:D46"/>
    <mergeCell ref="D47:D50"/>
    <mergeCell ref="D60:D61"/>
    <mergeCell ref="D56:D57"/>
    <mergeCell ref="D58:D59"/>
    <mergeCell ref="D51:D55"/>
    <mergeCell ref="D41:D42"/>
    <mergeCell ref="D37:D38"/>
    <mergeCell ref="D39:D40"/>
    <mergeCell ref="D33:D36"/>
    <mergeCell ref="C28:C32"/>
    <mergeCell ref="C25:C26"/>
    <mergeCell ref="C23:C24"/>
    <mergeCell ref="C15:C17"/>
    <mergeCell ref="C13:C14"/>
    <mergeCell ref="C6:C12"/>
    <mergeCell ref="C18:C20"/>
    <mergeCell ref="C21:C22"/>
    <mergeCell ref="A66:A67"/>
    <mergeCell ref="A70:A71"/>
    <mergeCell ref="A74:A75"/>
    <mergeCell ref="A72:A73"/>
    <mergeCell ref="A76:A77"/>
    <mergeCell ref="A78:A79"/>
    <mergeCell ref="A80:A82"/>
    <mergeCell ref="A68:A69"/>
    <mergeCell ref="D64:D65"/>
    <mergeCell ref="D62:D63"/>
    <mergeCell ref="C43:C46"/>
    <mergeCell ref="C33:C36"/>
    <mergeCell ref="B66:B67"/>
    <mergeCell ref="B70:B71"/>
    <mergeCell ref="B68:B69"/>
    <mergeCell ref="B74:B75"/>
    <mergeCell ref="B72:B73"/>
    <mergeCell ref="B76:B77"/>
    <mergeCell ref="B78:B79"/>
    <mergeCell ref="B80:B82"/>
    <mergeCell ref="C62:C63"/>
    <mergeCell ref="C60:C61"/>
    <mergeCell ref="C64:C65"/>
    <mergeCell ref="D18:D20"/>
    <mergeCell ref="D15:D17"/>
    <mergeCell ref="D6:D12"/>
    <mergeCell ref="D13:D14"/>
    <mergeCell ref="D21:D22"/>
    <mergeCell ref="D23:D24"/>
    <mergeCell ref="D25:D26"/>
    <mergeCell ref="D28:D32"/>
    <mergeCell ref="C58:C59"/>
    <mergeCell ref="C37:C38"/>
    <mergeCell ref="C39:C40"/>
    <mergeCell ref="C47:C50"/>
    <mergeCell ref="C51:C55"/>
    <mergeCell ref="C56:C57"/>
    <mergeCell ref="C41:C42"/>
    <mergeCell ref="F62:F63"/>
    <mergeCell ref="E25:E26"/>
    <mergeCell ref="E28:E32"/>
    <mergeCell ref="F33:F34"/>
    <mergeCell ref="F35:F36"/>
    <mergeCell ref="F37:F38"/>
    <mergeCell ref="F60:F61"/>
    <mergeCell ref="F41:F42"/>
    <mergeCell ref="F51:F55"/>
    <mergeCell ref="E18:E20"/>
    <mergeCell ref="E15:E17"/>
    <mergeCell ref="E6:E12"/>
    <mergeCell ref="E13:E14"/>
    <mergeCell ref="E23:E24"/>
    <mergeCell ref="E21:E22"/>
    <mergeCell ref="G70:G71"/>
    <mergeCell ref="G74:G75"/>
    <mergeCell ref="G72:G73"/>
    <mergeCell ref="G78:G79"/>
    <mergeCell ref="G76:G77"/>
    <mergeCell ref="G68:G69"/>
    <mergeCell ref="F64:F65"/>
    <mergeCell ref="G66:G67"/>
    <mergeCell ref="E60:E61"/>
    <mergeCell ref="E58:E59"/>
    <mergeCell ref="E51:E55"/>
    <mergeCell ref="E47:E50"/>
    <mergeCell ref="E56:E57"/>
    <mergeCell ref="E43:E46"/>
    <mergeCell ref="E41:E42"/>
    <mergeCell ref="H70:H71"/>
    <mergeCell ref="E64:E65"/>
    <mergeCell ref="E62:E63"/>
    <mergeCell ref="E39:E40"/>
    <mergeCell ref="E33:E36"/>
    <mergeCell ref="F16:F17"/>
    <mergeCell ref="F11:F12"/>
    <mergeCell ref="E37:E38"/>
    <mergeCell ref="H78:H79"/>
    <mergeCell ref="H76:H77"/>
    <mergeCell ref="H64:H65"/>
    <mergeCell ref="H62:H63"/>
    <mergeCell ref="H37:H38"/>
    <mergeCell ref="H35:H36"/>
    <mergeCell ref="H33:H34"/>
    <mergeCell ref="H41:H42"/>
    <mergeCell ref="E68:E69"/>
    <mergeCell ref="E70:E71"/>
    <mergeCell ref="E76:E77"/>
    <mergeCell ref="E74:E75"/>
    <mergeCell ref="E72:E73"/>
    <mergeCell ref="E78:E79"/>
    <mergeCell ref="E80:E82"/>
    <mergeCell ref="E66:E67"/>
    <mergeCell ref="G23:G24"/>
    <mergeCell ref="G15:G17"/>
    <mergeCell ref="G6:G12"/>
    <mergeCell ref="G13:G14"/>
    <mergeCell ref="G18:G20"/>
    <mergeCell ref="G21:G22"/>
    <mergeCell ref="G28:G32"/>
    <mergeCell ref="G25:G26"/>
    <mergeCell ref="G62:G63"/>
    <mergeCell ref="G43:G46"/>
    <mergeCell ref="G51:G55"/>
    <mergeCell ref="G47:G50"/>
    <mergeCell ref="G56:G57"/>
    <mergeCell ref="G60:G61"/>
    <mergeCell ref="G58:G59"/>
    <mergeCell ref="G33:G36"/>
    <mergeCell ref="H21:H22"/>
    <mergeCell ref="F76:F77"/>
    <mergeCell ref="F78:F79"/>
    <mergeCell ref="G37:G38"/>
    <mergeCell ref="G41:G42"/>
    <mergeCell ref="G39:G40"/>
    <mergeCell ref="G64:G65"/>
    <mergeCell ref="F70:F71"/>
    <mergeCell ref="I28:I32"/>
    <mergeCell ref="J37:J38"/>
    <mergeCell ref="J51:J52"/>
    <mergeCell ref="J62:J63"/>
    <mergeCell ref="J53:J55"/>
    <mergeCell ref="J41:J42"/>
    <mergeCell ref="J4:O4"/>
    <mergeCell ref="K16:K17"/>
    <mergeCell ref="L51:L52"/>
    <mergeCell ref="L64:L65"/>
    <mergeCell ref="L53:L55"/>
    <mergeCell ref="K62:K63"/>
    <mergeCell ref="K53:K55"/>
    <mergeCell ref="J78:J79"/>
    <mergeCell ref="J76:J77"/>
    <mergeCell ref="K51:K52"/>
    <mergeCell ref="N64:N65"/>
    <mergeCell ref="M16:M17"/>
    <mergeCell ref="M53:M55"/>
    <mergeCell ref="M51:M52"/>
    <mergeCell ref="P41:P42"/>
    <mergeCell ref="M78:M79"/>
    <mergeCell ref="M76:M77"/>
    <mergeCell ref="P4:U4"/>
    <mergeCell ref="R51:R52"/>
    <mergeCell ref="R53:R55"/>
    <mergeCell ref="R41:R42"/>
    <mergeCell ref="S78:S79"/>
    <mergeCell ref="Q16:Q17"/>
    <mergeCell ref="Q62:Q63"/>
    <mergeCell ref="T76:T77"/>
    <mergeCell ref="Q53:Q55"/>
    <mergeCell ref="Q51:Q52"/>
    <mergeCell ref="T37:T38"/>
    <mergeCell ref="S16:S17"/>
    <mergeCell ref="S53:S55"/>
    <mergeCell ref="S51:S52"/>
    <mergeCell ref="V53:V55"/>
    <mergeCell ref="V51:V52"/>
    <mergeCell ref="V62:V63"/>
    <mergeCell ref="V4:AA4"/>
    <mergeCell ref="U62:U63"/>
    <mergeCell ref="W16:W17"/>
    <mergeCell ref="W37:W38"/>
    <mergeCell ref="W41:W42"/>
    <mergeCell ref="V78:V79"/>
    <mergeCell ref="Z37:Z38"/>
    <mergeCell ref="Y16:Y17"/>
    <mergeCell ref="AB41:AB42"/>
    <mergeCell ref="AB16:AB17"/>
    <mergeCell ref="AB4:AG4"/>
    <mergeCell ref="AH4:AM4"/>
    <mergeCell ref="AN4:AS4"/>
    <mergeCell ref="AT4:AY4"/>
    <mergeCell ref="AZ4:BE4"/>
    <mergeCell ref="BF4:BK4"/>
    <mergeCell ref="BL78:BL79"/>
    <mergeCell ref="BL70:BL71"/>
    <mergeCell ref="BL76:BL77"/>
    <mergeCell ref="BL64:BL65"/>
    <mergeCell ref="BL37:BL38"/>
    <mergeCell ref="BL62:BL63"/>
    <mergeCell ref="BL53:BL55"/>
    <mergeCell ref="BL51:BL52"/>
    <mergeCell ref="BL41:BL42"/>
    <mergeCell ref="BL4:BP4"/>
    <mergeCell ref="BL16:BL17"/>
    <mergeCell ref="BN39:BN40"/>
    <mergeCell ref="BN47:BN50"/>
    <mergeCell ref="BM16:BM17"/>
    <mergeCell ref="BN33:BN36"/>
    <mergeCell ref="BN37:BN38"/>
    <mergeCell ref="BN62:BN63"/>
    <mergeCell ref="BN60:BN61"/>
    <mergeCell ref="BN58:BN59"/>
    <mergeCell ref="BN56:BN57"/>
    <mergeCell ref="BN51:BN55"/>
    <mergeCell ref="BO70:BO71"/>
    <mergeCell ref="BN64:BN65"/>
    <mergeCell ref="BN41:BN42"/>
    <mergeCell ref="BN43:BN46"/>
    <mergeCell ref="BO78:BO79"/>
    <mergeCell ref="BO76:BO77"/>
    <mergeCell ref="BM37:BM38"/>
    <mergeCell ref="BM53:BM55"/>
    <mergeCell ref="BM51:BM52"/>
    <mergeCell ref="BM41:BM42"/>
    <mergeCell ref="BM62:BM63"/>
    <mergeCell ref="BN18:BN20"/>
    <mergeCell ref="BN21:BN22"/>
    <mergeCell ref="BN23:BN24"/>
    <mergeCell ref="BN25:BN26"/>
    <mergeCell ref="BN28:BN32"/>
    <mergeCell ref="BN6:BN12"/>
    <mergeCell ref="BN13:BN14"/>
    <mergeCell ref="BN15:BN17"/>
    <mergeCell ref="BP68:BP69"/>
    <mergeCell ref="BP76:BP77"/>
    <mergeCell ref="BP74:BP75"/>
    <mergeCell ref="BP72:BP73"/>
    <mergeCell ref="BP70:BP71"/>
    <mergeCell ref="BP80:BP82"/>
    <mergeCell ref="BP78:BP79"/>
    <mergeCell ref="BP66:BP67"/>
    <mergeCell ref="BM64:BM65"/>
    <mergeCell ref="BP53:BP55"/>
    <mergeCell ref="BP47:BP50"/>
    <mergeCell ref="BM70:BM71"/>
    <mergeCell ref="BP64:BP65"/>
    <mergeCell ref="BP62:BP63"/>
    <mergeCell ref="BP58:BP59"/>
    <mergeCell ref="BP60:BP61"/>
    <mergeCell ref="BM76:BM77"/>
    <mergeCell ref="BM78:BM79"/>
    <mergeCell ref="BP43:BP46"/>
    <mergeCell ref="BP41:BP42"/>
    <mergeCell ref="BP39:BP40"/>
    <mergeCell ref="BP33:BP36"/>
    <mergeCell ref="BP37:BP38"/>
    <mergeCell ref="BO16:BO17"/>
    <mergeCell ref="BP51:BP52"/>
    <mergeCell ref="BP21:BP22"/>
    <mergeCell ref="BO51:BO52"/>
    <mergeCell ref="BO41:BO42"/>
    <mergeCell ref="BP28:BP32"/>
    <mergeCell ref="BO37:BO38"/>
    <mergeCell ref="BO53:BO55"/>
    <mergeCell ref="BO62:BO63"/>
    <mergeCell ref="BO64:BO65"/>
    <mergeCell ref="BP18:BP20"/>
    <mergeCell ref="BP15:BP17"/>
    <mergeCell ref="BP6:BP12"/>
    <mergeCell ref="BP13:BP14"/>
    <mergeCell ref="BP23:BP24"/>
    <mergeCell ref="BP25:BP26"/>
    <mergeCell ref="BN66:BN67"/>
    <mergeCell ref="BN68:BN69"/>
    <mergeCell ref="BN70:BN71"/>
    <mergeCell ref="BN78:BN79"/>
    <mergeCell ref="BN74:BN75"/>
    <mergeCell ref="BN76:BN77"/>
    <mergeCell ref="BN72:BN73"/>
    <mergeCell ref="BN80:BN82"/>
    <mergeCell ref="BR51:BR52"/>
    <mergeCell ref="BQ16:BQ17"/>
    <mergeCell ref="BQ4:BS4"/>
    <mergeCell ref="BS78:BS79"/>
    <mergeCell ref="BS76:BS77"/>
    <mergeCell ref="BR41:BR42"/>
    <mergeCell ref="BS70:BS71"/>
    <mergeCell ref="BR37:BR38"/>
    <mergeCell ref="BR62:BR63"/>
    <mergeCell ref="BR64:BR65"/>
    <mergeCell ref="BR53:BR55"/>
    <mergeCell ref="BQ62:BQ63"/>
    <mergeCell ref="BQ51:BQ52"/>
    <mergeCell ref="BQ41:BQ42"/>
    <mergeCell ref="BQ64:BQ65"/>
    <mergeCell ref="BR16:BR17"/>
    <mergeCell ref="BQ53:BQ55"/>
    <mergeCell ref="BQ37:BQ38"/>
    <mergeCell ref="BS16:BS17"/>
    <mergeCell ref="BQ78:BQ79"/>
    <mergeCell ref="BQ70:BQ71"/>
    <mergeCell ref="BQ76:BQ77"/>
    <mergeCell ref="BS62:BS63"/>
    <mergeCell ref="BS64:BS65"/>
    <mergeCell ref="BS41:BS42"/>
    <mergeCell ref="BS37:BS38"/>
    <mergeCell ref="BS53:BS55"/>
    <mergeCell ref="BR78:BR79"/>
    <mergeCell ref="BR70:BR71"/>
    <mergeCell ref="BR76:BR77"/>
    <mergeCell ref="BS51:BS52"/>
  </mergeCells>
  <conditionalFormatting sqref="J6:BJ82">
    <cfRule dxfId="0" operator="equal" type="cellIs" priority="1">
      <formula>0</formula>
    </cfRule>
  </conditionalFormatting>
  <conditionalFormatting sqref="J6:BJ82">
    <cfRule dxfId="1" operator="equal" type="cellIs" priority="2">
      <formula>1</formula>
    </cfRule>
  </conditionalFormatting>
  <conditionalFormatting sqref="J6:BJ82">
    <cfRule dxfId="2" operator="equal" type="cellIs" priority="3">
      <formula>2</formula>
    </cfRule>
  </conditionalFormatting>
  <conditionalFormatting sqref="J6:BK82">
    <cfRule dxfId="0" operator="equal" type="cellIs" priority="4">
      <formula>0</formula>
    </cfRule>
  </conditionalFormatting>
  <conditionalFormatting sqref="J6:BK82">
    <cfRule dxfId="1" operator="equal" type="cellIs" priority="5">
      <formula>1</formula>
    </cfRule>
  </conditionalFormatting>
  <conditionalFormatting sqref="J6:BK82">
    <cfRule dxfId="2" operator="equal" type="cellIs" priority="6">
      <formula>2</formula>
    </cfRule>
  </conditionalFormatting>
  <conditionalFormatting sqref="I6:I82">
    <cfRule dxfId="0" operator="equal" type="cellIs" priority="7">
      <formula>0</formula>
    </cfRule>
  </conditionalFormatting>
  <conditionalFormatting sqref="I6:I82">
    <cfRule dxfId="1" operator="equal" type="cellIs" priority="8">
      <formula>1</formula>
    </cfRule>
  </conditionalFormatting>
  <conditionalFormatting sqref="I6:I82">
    <cfRule dxfId="2" operator="equal" type="cellIs" priority="9">
      <formula>2</formula>
    </cfRule>
  </conditionalFormatting>
  <conditionalFormatting sqref="I6:I82">
    <cfRule dxfId="0" operator="equal" type="cellIs" priority="10">
      <formula>0</formula>
    </cfRule>
  </conditionalFormatting>
  <conditionalFormatting sqref="I6:I82">
    <cfRule dxfId="1" operator="equal" type="cellIs" priority="11">
      <formula>1</formula>
    </cfRule>
  </conditionalFormatting>
  <conditionalFormatting sqref="I6:I82">
    <cfRule dxfId="2" operator="equal" type="cellIs" priority="12">
      <formula>2</formula>
    </cfRule>
  </conditionalFormatting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2"/>
  <sheetViews>
    <sheetView workbookViewId="0"/>
  </sheetViews>
  <sheetFormatPr defaultRowHeight="14.0" customHeight="1"/>
  <cols>
    <col min="1" max="2" width="13.24"/>
    <col min="3" max="3" width="14.44"/>
    <col min="4" max="7" width="13.24"/>
  </cols>
  <sheetData>
    <row r="1">
      <c r="A1" s="128" t="s">
        <v>166</v>
      </c>
      <c r="B1" s="128" t="s">
        <v>167</v>
      </c>
      <c r="C1" s="128" t="s">
        <v>168</v>
      </c>
      <c r="D1" s="128" t="s">
        <v>169</v>
      </c>
      <c r="E1" s="128" t="s">
        <v>170</v>
      </c>
      <c r="F1" s="7"/>
    </row>
    <row r="2">
      <c r="A2" s="129" t="s">
        <v>171</v>
      </c>
      <c r="B2" s="38">
        <f>'Intervention Tracker'!H83</f>
        <v>4208.0</v>
      </c>
      <c r="C2" s="38">
        <v>0.0</v>
      </c>
      <c r="D2" s="38">
        <f>'Intervention Tracker'!H83-26</f>
        <v>4182.0</v>
      </c>
      <c r="E2" s="38">
        <f>'Intervention Tracker'!H70</f>
        <v>26.0</v>
      </c>
      <c r="F2" s="7"/>
    </row>
    <row r="3">
      <c r="A3" s="7"/>
      <c r="B3" s="7"/>
      <c r="C3" s="7"/>
      <c r="D3" s="7"/>
      <c r="E3" s="7"/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2026-02-02T12:54:26Z</dcterms:created>
</cp:coreProperties>
</file>